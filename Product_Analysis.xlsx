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ep Nanduri\Desktop\"/>
    </mc:Choice>
  </mc:AlternateContent>
  <xr:revisionPtr revIDLastSave="0" documentId="8_{338ED671-78B5-4B7E-B590-E0CF56F7074D}" xr6:coauthVersionLast="47" xr6:coauthVersionMax="47" xr10:uidLastSave="{00000000-0000-0000-0000-000000000000}"/>
  <bookViews>
    <workbookView xWindow="-108" yWindow="-108" windowWidth="23256" windowHeight="12456" xr2:uid="{5195F127-4BAE-461B-925A-928AA98CEACE}"/>
  </bookViews>
  <sheets>
    <sheet name="Products" sheetId="1" r:id="rId1"/>
    <sheet name="Combina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2" l="1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</calcChain>
</file>

<file path=xl/sharedStrings.xml><?xml version="1.0" encoding="utf-8"?>
<sst xmlns="http://schemas.openxmlformats.org/spreadsheetml/2006/main" count="1653" uniqueCount="951">
  <si>
    <t>CDM 6.29.0 Products by Input Payout Keys</t>
  </si>
  <si>
    <t>One row per CDM product. Blue key columns show the input payout keys; CDM columns come from product-qualification-func.rosetta (CDM 6.29.0).</t>
  </si>
  <si>
    <t>#</t>
  </si>
  <si>
    <t>Asset class</t>
  </si>
  <si>
    <t>Product</t>
  </si>
  <si>
    <t>CDM productQualifier</t>
  </si>
  <si>
    <t>mainPayout</t>
  </si>
  <si>
    <t>subPayout1</t>
  </si>
  <si>
    <t>subPayout2</t>
  </si>
  <si>
    <t>Key status</t>
  </si>
  <si>
    <t>Status note</t>
  </si>
  <si>
    <t>Description</t>
  </si>
  <si>
    <t>Deciding input keys</t>
  </si>
  <si>
    <t>CDM rule: payouts</t>
  </si>
  <si>
    <t>CDM rule: must also be true</t>
  </si>
  <si>
    <t>CDM rule: must not have</t>
  </si>
  <si>
    <t>CDM paths to set (from economicTerms)</t>
  </si>
  <si>
    <t>Same key combination as</t>
  </si>
  <si>
    <t>Told apart from</t>
  </si>
  <si>
    <t>Can also match (CDM then writes no qualifier)</t>
  </si>
  <si>
    <t>Current input checks (see Input Checks)</t>
  </si>
  <si>
    <t>Changes in CDM 6 / notes</t>
  </si>
  <si>
    <t>CDM source</t>
  </si>
  <si>
    <t>Interest rate</t>
  </si>
  <si>
    <t>IRS fixed-float</t>
  </si>
  <si>
    <t>InterestRate_IRSwap_FixedFloat</t>
  </si>
  <si>
    <t>(empty)</t>
  </si>
  <si>
    <t>interestRatePayout</t>
  </si>
  <si>
    <t>Supported</t>
  </si>
  <si>
    <t>Single-currency swap: one leg pays a fixed rate, the other a floating index, with regular payments over the life of the trade.</t>
  </si>
  <si>
    <t>One leg: subPayoutNFixedRate (or FixedRateScheduleValue/Date). Other leg: subPayoutNFloatingRateName (or IborFallbackName), not an OIS index. subPayout1NotionalCurrency = subPayout2NotionalCurrency. subPayoutNPaymentDates set (not PaymentDateUnadjusted). Frequency not T and not zero coupon. No InflationRateName.</t>
  </si>
  <si>
    <t>InterestRatePayout with FixedRateSpecification (or with no rateSpecification but a priceQuantity: a known fixed amount); InterestRatePayout with FloatingRateSpecification</t>
  </si>
  <si>
    <t>both InterestRatePayouts have paymentDates (a payment schedule, not a single paymentDate); single currency (one notional currency, no FX-linked notional in another currency)</t>
  </si>
  <si>
    <t>inflation leg; zero coupon: a payment frequency of 1T (term) on a leg, or effective date + the longest payment frequency = termination date (the adjustableDate of the effective / termination dates, unadjusted or else adjusted; relative dates are not read; a month counts as 30 days, a year as 365 days + leap days); OIS floating rate index (any of the ~86 *_OIS_* / *_COMPOUND indices listed in Qualify_Transaction_OIS)</t>
  </si>
  <si>
    <t>- payout.InterestRatePayout.rateSpecification.FixedRateSpecification  on 1 leg (or that leg has no rateSpecification and a priceQuantity: a known amount)
+ payout.InterestRatePayout.rateSpecification.FloatingRateSpecification  on 1 leg
- payout.InterestRatePayout.rateSpecification.FloatingRateSpecification.rateOption.FloatingRateIndex.floatingRateIndex  not an OIS index
+ payout.InterestRatePayout.paymentDates  on both legs (a payment schedule, not a single paymentDate)
- payout.InterestRatePayout.priceQuantity.quantitySchedule.unit.currency  if set, the same currency on both legs
+ payout.InterestRatePayout.paymentDates.paymentFrequency  not 1T; and effective date + the longest frequency is not the termination date
- payout.InterestRatePayout.calculationPeriodDates.effectiveDate.adjustableDate / .terminationDate.adjustableDate  read for the zero-coupon test: earliest effective and latest termination date across legs, unadjusted (adjusted if no unadjusted); relative dates are not read</t>
  </si>
  <si>
    <t>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</si>
  <si>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IRS fixed-float zero coupon: zero coupon (1T, or term = longest period)
IRS fixed-float OIS: floating index is OIS
Cross-currency swap fixed-float: two notional currencies
FRA (forward rate agreement): paymentDate instead of paymentDates
Inflation swap fixed-float, year-on-year: inflation leg instead of floating
IRS fixed-fixed: both legs fixed</t>
  </si>
  <si>
    <t>FRA (forward rate agreement) (InterestRate_Fra): when a leg with both paymentDate and paymentDates - only with data CDM's validation rejects (InterestRatePayoutInterestRatePayoutChoice)</t>
  </si>
  <si>
    <t>Interest rate leg; Payer / receiver</t>
  </si>
  <si>
    <t>payout[i].InterestRatePayout (was interestRatePayout[i] under contractualProduct). Rate is a choice: FixedRateSpecification / FloatingRateSpecification / InflationRateSpecification. Whether the floating index is OIS decides FixedFloat vs FixedFloat_OIS.</t>
  </si>
  <si>
    <t>product-qualification-func.rosetta:1320</t>
  </si>
  <si>
    <t>IRS fixed-fixed</t>
  </si>
  <si>
    <t>InterestRate_IRSwap_FixedFixed</t>
  </si>
  <si>
    <t>Single-currency swap where both legs pay a fixed rate.</t>
  </si>
  <si>
    <t>subPayout1FixedRate and subPayout2FixedRate (or their schedules). Same NotionalCurrency on both legs. subPayoutNPaymentDates set. No InflationRateName.</t>
  </si>
  <si>
    <t>InterestRatePayout with FixedRateSpecification; InterestRatePayout with FixedRateSpecification</t>
  </si>
  <si>
    <t>both InterestRatePayouts have paymentDates (a payment schedule, not a single paymentDate); single currency (one notional currency, no FX-linked notional in another currency); zero coupon allowed</t>
  </si>
  <si>
    <t>inflation leg</t>
  </si>
  <si>
    <t>+ payout.InterestRatePayout.rateSpecification.FixedRateSpecification  on both legs
+ payout.InterestRatePayout.paymentDates  on both legs (a payment schedule, not a single paymentDate)
- payout.InterestRatePayout.priceQuantity.quantitySchedule.unit.currency  if set, the same currency on both legs</t>
  </si>
  <si>
    <t>InterestRate_IRSwap_FixedFloat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</si>
  <si>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Cross-currency swap fixed-fixed: two notional currencies
IRS fixed-float: one leg floating</t>
  </si>
  <si>
    <t>None found</t>
  </si>
  <si>
    <t>payout[i].InterestRatePayout (was interestRatePayout[i] under contractualProduct). Rate is a choice: FixedRateSpecification / FloatingRateSpecification / InflationRateSpecification.</t>
  </si>
  <si>
    <t>product-qualification-func.rosetta:1335</t>
  </si>
  <si>
    <t>IRS basis (float-float)</t>
  </si>
  <si>
    <t>InterestRate_IRSwap_Basis</t>
  </si>
  <si>
    <t>Single-currency swap where both legs pay different floating indices.</t>
  </si>
  <si>
    <t>subPayout1FloatingRateName and subPayout2FloatingRateName, neither an OIS index. Same NotionalCurrency. subPayoutNPaymentDates set. No InflationRateName.</t>
  </si>
  <si>
    <t>InterestRatePayout with FloatingRateSpecification; InterestRatePayout with FloatingRateSpecification</t>
  </si>
  <si>
    <t>inflation leg; OIS floating rate index (any of the ~86 *_OIS_* / *_COMPOUND indices listed in Qualify_Transaction_OIS)</t>
  </si>
  <si>
    <t>+ payout.InterestRatePayout.rateSpecification.FloatingRateSpecification  on both legs
- payout.InterestRatePayout.rateSpecification.FloatingRateSpecification.rateOption.FloatingRateIndex.floatingRateIndex  neither leg an OIS index
+ payout.InterestRatePayout.paymentDates  on both legs (a payment schedule, not a single paymentDate)
- payout.InterestRatePayout.priceQuantity.quantitySchedule.unit.currency  if set, the same currency on both legs</t>
  </si>
  <si>
    <t>InterestRate_IRSwap_FixedFloat
InterestRate_IRSwap_FixedFixed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</si>
  <si>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IRS basis OIS: an OIS index on a leg
Cross-currency swap basis (float-float): two notional currencies
Inflation swap basis, year-on-year: an inflation leg</t>
  </si>
  <si>
    <t>product-qualification-func.rosetta:1347</t>
  </si>
  <si>
    <t>IRS fixed-float zero coupon</t>
  </si>
  <si>
    <t>InterestRate_IRSwap_FixedFloat_ZeroCoupon</t>
  </si>
  <si>
    <t>Fixed-float swap where one leg pays only once, at maturity.</t>
  </si>
  <si>
    <t>As fixed-float, plus zero coupon: subPayoutNPaymentDatesPaymentFrequencyPeriod = T, or EffectiveDate + longest frequency = TerminationDate. Floating index not OIS.</t>
  </si>
  <si>
    <t>both InterestRatePayouts have paymentDates (a payment schedule, not a single paymentDate); single currency (one notional currency, no FX-linked notional in another currency); zero coupon: a payment frequency of 1T (term) on a leg, or effective date + the longest payment frequency = termination date (the adjustableDate of the effective / termination dates, unadjusted or else adjusted; relative dates are not read; a month counts as 30 days, a year as 365 days + leap days)</t>
  </si>
  <si>
    <t>- payout.InterestRatePayout.rateSpecification.FixedRateSpecification  on 1 leg (or that leg has no rateSpecification and a priceQuantity: a known amount)
+ payout.InterestRatePayout.rateSpecification.FloatingRateSpecification  on 1 leg
- payout.InterestRatePayout.rateSpecification.FloatingRateSpecification.rateOption.FloatingRateIndex.floatingRateIndex  not an OIS index
+ payout.InterestRatePayout.paymentDates  on both legs (a payment schedule, not a single paymentDate)
- payout.InterestRatePayout.priceQuantity.quantitySchedule.unit.currency  if set, the same currency on both legs
+ payout.InterestRatePayout.paymentDates.paymentFrequency  1T (term) on a leg, or: effective date + the longest payment frequency = termination date
- payout.InterestRatePayout.calculationPeriodDates.effectiveDate.adjustableDate / .terminationDate.adjustableDate  read for the zero-coupon test: earliest effective and latest termination date across legs, unadjusted (adjusted if no unadjusted); relative dates are not read</t>
  </si>
  <si>
    <t>InterestRate_IRSwap_FixedFloat
InterestRate_IRSwap_FixedFixed
InterestRate_IRSwap_Basis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</si>
  <si>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IRS fixed-float: not zero coupon
IRS fixed-float OIS: OIS index (OIS wins, zero coupon or not)</t>
  </si>
  <si>
    <t>product-qualification-func.rosetta:1361</t>
  </si>
  <si>
    <t>IRS fixed-float OIS</t>
  </si>
  <si>
    <t>InterestRate_IRSwap_FixedFloat_OIS</t>
  </si>
  <si>
    <t>Fixed-float swap whose floating leg is an overnight index (OIS).</t>
  </si>
  <si>
    <t>As fixed-float, but subPayoutNFloatingRateName is one of CDM's ~86 OIS / compound indices. Zero coupon allowed.</t>
  </si>
  <si>
    <t>InterestRatePayout with FixedRateSpecification (or with no rateSpecification but a priceQuantity: a known fixed amount); InterestRatePayout with FloatingRateSpecification on an OIS index</t>
  </si>
  <si>
    <t>both InterestRatePayouts have paymentDates (a payment schedule, not a single paymentDate); single currency (one notional currency, no FX-linked notional in another currency); the floating index is an OIS index; zero coupon allowed</t>
  </si>
  <si>
    <t>- payout.InterestRatePayout.rateSpecification.FixedRateSpecification  on 1 leg (or that leg has no rateSpecification and a priceQuantity: a known amount)
+ payout.InterestRatePayout.rateSpecification.FloatingRateSpecification  on 1 leg
+ payout.InterestRatePayout.rateSpecification.FloatingRateSpecification.rateOption.FloatingRateIndex.floatingRateIndex  an OIS index (Qualify_Transaction_OIS list)
+ payout.InterestRatePayout.paymentDates  on both legs (a payment schedule, not a single paymentDate)
- payout.InterestRatePayout.priceQuantity.quantitySchedule.unit.currency  if set, the same currency on both legs</t>
  </si>
  <si>
    <t>InterestRate_IRSwap_FixedFloat
InterestRate_IRSwap_FixedFixed
InterestRate_IRSwap_Basis
InterestRate_IRSwap_FixedFloat_ZeroCoupon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</si>
  <si>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IRS fixed-float: index not OIS
Cross-currency swap fixed-float: two notional currencies</t>
  </si>
  <si>
    <t>product-qualification-func.rosetta:1375</t>
  </si>
  <si>
    <t>IRS basis OIS</t>
  </si>
  <si>
    <t>InterestRate_IRSwap_Basis_OIS</t>
  </si>
  <si>
    <t>Basis swap where at least one floating leg is an overnight index (OIS).</t>
  </si>
  <si>
    <t>Both legs FloatingRateName; at least one is an OIS index. Same NotionalCurrency. subPayoutNPaymentDates set.</t>
  </si>
  <si>
    <t>both InterestRatePayouts have paymentDates (a payment schedule, not a single paymentDate); single currency (one notional currency, no FX-linked notional in another currency); at least one floating index is an OIS index; zero coupon allowed</t>
  </si>
  <si>
    <t>+ payout.InterestRatePayout.rateSpecification.FloatingRateSpecification  on both legs
+ payout.InterestRatePayout.rateSpecification.FloatingRateSpecification.rateOption.FloatingRateIndex.floatingRateIndex  at least one leg an OIS index
+ payout.InterestRatePayout.paymentDates  on both legs (a payment schedule, not a single paymentDate)
- payout.InterestRatePayout.priceQuantity.quantitySchedule.unit.currency  if set, the same currency on both legs</t>
  </si>
  <si>
    <t>InterestRate_IRSwap_FixedFloat
InterestRate_IRSwap_FixedFixed
InterestRate_IRSwap_Basis
InterestRate_IRSwap_FixedFloat_ZeroCoupon
InterestRate_IRSwap_FixedFloat_OIS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</si>
  <si>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IRS basis (float-float): no OIS index
Cross-currency swap basis (float-float): two notional currencies</t>
  </si>
  <si>
    <t>product-qualification-func.rosetta:1388</t>
  </si>
  <si>
    <t>Cross-currency swap fixed-float</t>
  </si>
  <si>
    <t>InterestRate_CrossCurrency_FixedFloat</t>
  </si>
  <si>
    <t>Cross-currency swap: a fixed leg in one currency against a floating leg in another.</t>
  </si>
  <si>
    <t>One leg FixedRate, other FloatingRateName. subPayout1NotionalCurrency &lt;&gt; subPayout2NotionalCurrency.</t>
  </si>
  <si>
    <t>InterestRatePayout with FixedRateSpecification (or with no rateSpecification but a priceQuantity: a known fixed amount); InterestRatePayout with FloatingRateSpecification (or InflationRateSpecification)</t>
  </si>
  <si>
    <t>cross-currency: the two InterestRatePayouts have 2 different notional currencies, or an FX-linked notional (fxLinkedNotionalSchedule.varyingNotionalCurrency) in another currency; no paymentDates check (unlike IRS), so a cross-currency FRA-shaped trade also matches</t>
  </si>
  <si>
    <t>- payout.InterestRatePayout.rateSpecification.FixedRateSpecification  on 1 leg (or that leg has no rateSpecification and a priceQuantity: a known amount)
- payout.InterestRatePayout.rateSpecification.FloatingRateSpecification  on 1 leg (or InflationRateSpecification)
+ payout.InterestRatePayout.priceQuantity.quantitySchedule.unit.currency  2 different currencies (or an FX-linked notional, next row)
- payout.InterestRatePayout.priceQuantity.quantityMultiplier.fxLinkedNotionalSchedule.varyingNotionalCurrency  a currency other than the notional's</t>
  </si>
  <si>
    <t>InterestRate_IRSwap_FixedFloat
InterestRate_IRSwap_FixedFixed
InterestRate_IRSwap_Basis
InterestRate_IRSwap_FixedFloat_ZeroCoupon
InterestRate_IRSwap_FixedFloat_OIS
InterestRate_IRSwap_Basis_OIS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</si>
  <si>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IRS fixed-float: one notional currency
Inflation swap fixed-float, year-on-year: one currency + inflation leg
Cross-currency swap basis (float-float): no fixed leg</t>
  </si>
  <si>
    <t>FRA (forward rate agreement) (InterestRate_Fra): when two notional currencies and one paymentDate per leg (a cross-currency FRA) - possible on a valid trade</t>
  </si>
  <si>
    <t>payout[i].InterestRatePayout (was interestRatePayout[i] under contractualProduct). Rate is a choice: FixedRateSpecification / FloatingRateSpecification / InflationRateSpecification. No paymentDates check, so a cross-currency FRA shape also matches.</t>
  </si>
  <si>
    <t>product-qualification-func.rosetta:1401</t>
  </si>
  <si>
    <t>Cross-currency swap basis (float-float)</t>
  </si>
  <si>
    <t>InterestRate_CrossCurrency_Basis</t>
  </si>
  <si>
    <t>Cross-currency swap where both legs are floating, each in its own currency.</t>
  </si>
  <si>
    <t>Both legs FloatingRateName (or one InflationRateName). subPayout1NotionalCurrency &lt;&gt; subPayout2NotionalCurrency.</t>
  </si>
  <si>
    <t>InterestRatePayout with FloatingRateSpecification (or InflationRateSpecification); InterestRatePayout with FloatingRateSpecification (or InflationRateSpecification)</t>
  </si>
  <si>
    <t>+ payout.InterestRatePayout.rateSpecification  Floating or Inflation on both legs
+ payout.InterestRatePayout.priceQuantity.quantitySchedule.unit.currency  2 different currencies (or an FX-linked notional)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</si>
  <si>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InterestRate_CrossCurrency_FixedFixed
InterestRate_InflationSwap_FixedFloat_YearOn_Year
InterestRate_InflationSwap_FixedFloat_ZeroCoupon
InterestRate_InflationSwap_Basis_YearOn_Year
InterestRate_InflationSwap_Basis_ZeroCoupon
InterestRate_Fra</t>
  </si>
  <si>
    <t>IRS basis (float-float): one notional currency
Cross-currency swap fixed-float: one fixed leg</t>
  </si>
  <si>
    <t>product-qualification-func.rosetta:1413</t>
  </si>
  <si>
    <t>Cross-currency swap fixed-fixed</t>
  </si>
  <si>
    <t>InterestRate_CrossCurrency_FixedFixed</t>
  </si>
  <si>
    <t>Cross-currency swap where both legs pay a fixed rate in different currencies.</t>
  </si>
  <si>
    <t>Both legs FixedRate. subPayout1NotionalCurrency &lt;&gt; subPayout2NotionalCurrency.</t>
  </si>
  <si>
    <t>+ payout.InterestRatePayout.rateSpecification.FixedRateSpecification  on both legs
+ payout.InterestRatePayout.priceQuantity.quantitySchedule.unit.currency  2 different currencies (or an FX-linked notional)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</si>
  <si>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InterestRate_InflationSwap_FixedFloat_YearOn_Year
InterestRate_InflationSwap_FixedFloat_ZeroCoupon
InterestRate_InflationSwap_Basis_YearOn_Year
InterestRate_InflationSwap_Basis_ZeroCoupon
InterestRate_Fra</t>
  </si>
  <si>
    <t>IRS fixed-fixed: one notional currency
Cross-currency swap fixed-float: one floating leg</t>
  </si>
  <si>
    <t>product-qualification-func.rosetta:1426</t>
  </si>
  <si>
    <t>Inflation swap fixed-float, year-on-year</t>
  </si>
  <si>
    <t>InterestRate_InflationSwap_FixedFloat_YearOn_Year</t>
  </si>
  <si>
    <t>Inflation swap: a fixed leg against an inflation index leg, paying every year.</t>
  </si>
  <si>
    <t>One leg FixedRate, other subPayoutNInflationRateName. Same currency. All PaymentDatesPaymentFrequency = 1Y.</t>
  </si>
  <si>
    <t>InterestRatePayout with FixedRateSpecification (or with no rateSpecification but a priceQuantity: a known fixed amount); InterestRatePayout with InflationRateSpecification</t>
  </si>
  <si>
    <t>both InterestRatePayouts have paymentDates; every payment frequency is 1Y</t>
  </si>
  <si>
    <t>cross-currency</t>
  </si>
  <si>
    <t>- payout.InterestRatePayout.rateSpecification.FixedRateSpecification  on 1 leg (or that leg has no rateSpecification and a priceQuantity: a known amount)
+ payout.InterestRatePayout.rateSpecification.InflationRateSpecification  on 1 leg
+ payout.InterestRatePayout.paymentDates  on both legs
+ payout.InterestRatePayout.priceQuantity.quantitySchedule.unit.currency  the same currency on both legs
+ payout.InterestRatePayout.paymentDates.paymentFrequency  1Y on every leg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</si>
  <si>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InterestRate_InflationSwap_FixedFloat_ZeroCoupon
InterestRate_InflationSwap_Basis_YearOn_Year
InterestRate_InflationSwap_Basis_ZeroCoupon
InterestRate_Fra</t>
  </si>
  <si>
    <t>Inflation swap fixed-float, zero coupon: zero coupon instead of every frequency 1Y
Inflation swap basis, year-on-year: a floating leg instead of the fixed one
Cross-currency swap fixed-float: two notional currencies (then it is cross-currency)</t>
  </si>
  <si>
    <t>Inflation swap fixed-float, zero coupon (InterestRate_InflationSwap_FixedFloat_ZeroCoupon): when every leg pays yearly (1Y) and the term is exactly one year - possible on a valid trade</t>
  </si>
  <si>
    <t>product-qualification-func.rosetta:1439</t>
  </si>
  <si>
    <t>Inflation swap fixed-float, zero coupon</t>
  </si>
  <si>
    <t>InterestRate_InflationSwap_FixedFloat_ZeroCoupon</t>
  </si>
  <si>
    <t>Inflation swap: fixed against inflation, settled once at maturity.</t>
  </si>
  <si>
    <t>One leg FixedRate, other InflationRateName. Same currency. Zero coupon (frequency T, or effective + longest frequency = termination).</t>
  </si>
  <si>
    <t>both InterestRatePayouts have paymentDates; zero coupon: a payment frequency of 1T (term) on a leg, or effective date + the longest payment frequency = termination date (the adjustableDate of the effective / termination dates, unadjusted or else adjusted; relative dates are not read; a month counts as 30 days, a year as 365 days + leap days)</t>
  </si>
  <si>
    <t>- payout.InterestRatePayout.rateSpecification.FixedRateSpecification  on 1 leg (or that leg has no rateSpecification and a priceQuantity: a known amount)
+ payout.InterestRatePayout.rateSpecification.InflationRateSpecification  on 1 leg
+ payout.InterestRatePayout.paymentDates  on both legs
+ payout.InterestRatePayout.priceQuantity.quantitySchedule.unit.currency  the same currency on both legs
+ payout.InterestRatePayout.paymentDates.paymentFrequency  1T (term) on a leg, or: effective date + the longest payment frequency = termination date
- payout.InterestRatePayout.calculationPeriodDates.effectiveDate.adjustableDate / .terminationDate.adjustableDate  read for the zero-coupon test: earliest effective and latest termination date across legs, unadjusted (adjusted if no unadjusted); relative dates are not read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</si>
  <si>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InterestRate_InflationSwap_Basis_YearOn_Year
InterestRate_InflationSwap_Basis_ZeroCoupon
InterestRate_Fra</t>
  </si>
  <si>
    <t>Inflation swap fixed-float, year-on-year: every frequency 1Y and not zero coupon
Inflation swap basis, zero coupon: a floating leg instead of the fixed one
Cross-currency swap fixed-float: two notional currencies</t>
  </si>
  <si>
    <t>Inflation swap fixed-float, year-on-year (InterestRate_InflationSwap_FixedFloat_YearOn_Year): when every leg pays yearly (1Y) and the term is exactly one year - possible on a valid trade</t>
  </si>
  <si>
    <t>product-qualification-func.rosetta:1468</t>
  </si>
  <si>
    <t>Inflation swap basis, year-on-year</t>
  </si>
  <si>
    <t>InterestRate_InflationSwap_Basis_YearOn_Year</t>
  </si>
  <si>
    <t>Inflation swap: a floating (or second inflation) leg against an inflation leg, paying every year.</t>
  </si>
  <si>
    <t>One leg FloatingRateName (or InflationRateName), other InflationRateName. Same currency. All frequencies 1Y.</t>
  </si>
  <si>
    <t>InterestRatePayout with FloatingRateSpecification (or InflationRateSpecification); InterestRatePayout with InflationRateSpecification</t>
  </si>
  <si>
    <t>- payout.InterestRatePayout.rateSpecification.FloatingRateSpecification  on the other leg (or a second InflationRateSpecification)
+ payout.InterestRatePayout.rateSpecification.InflationRateSpecification  on 1 leg
+ payout.InterestRatePayout.paymentDates  on both legs
+ payout.InterestRatePayout.priceQuantity.quantitySchedule.unit.currency  the same currency on both legs
+ payout.InterestRatePayout.paymentDates.paymentFrequency  1Y on every leg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</si>
  <si>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InterestRate_InflationSwap_Basis_ZeroCoupon
InterestRate_Fra</t>
  </si>
  <si>
    <t>Inflation swap basis, zero coupon: zero coupon instead of every frequency 1Y
Inflation swap fixed-float, year-on-year: a fixed leg instead of the floating one
Cross-currency swap basis (float-float): two notional currencies</t>
  </si>
  <si>
    <t>Inflation swap basis, zero coupon (InterestRate_InflationSwap_Basis_ZeroCoupon): when every leg pays yearly (1Y) and the term is exactly one year - possible on a valid trade</t>
  </si>
  <si>
    <t>product-qualification-func.rosetta:1482</t>
  </si>
  <si>
    <t>Inflation swap basis, zero coupon</t>
  </si>
  <si>
    <t>InterestRate_InflationSwap_Basis_ZeroCoupon</t>
  </si>
  <si>
    <t>Inflation swap: floating (or inflation) against inflation, settled once at maturity.</t>
  </si>
  <si>
    <t>One leg FloatingRateName (or InflationRateName), other InflationRateName. Same currency. Zero coupon.</t>
  </si>
  <si>
    <t>- payout.InterestRatePayout.rateSpecification.FloatingRateSpecification  on the other leg (or a second InflationRateSpecification)
+ payout.InterestRatePayout.rateSpecification.InflationRateSpecification  on 1 leg
+ payout.InterestRatePayout.paymentDates  on both legs
+ payout.InterestRatePayout.priceQuantity.quantitySchedule.unit.currency  the same currency on both legs
+ payout.InterestRatePayout.paymentDates.paymentFrequency  1T (term) on a leg, or: effective date + the longest payment frequency = termination date
- payout.InterestRatePayout.calculationPeriodDates.effectiveDate.adjustableDate / .terminationDate.adjustableDate  read for the zero-coupon test: earliest effective and latest termination date across legs, unadjusted (adjusted if no unadjusted); relative dates are not read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</si>
  <si>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InterestRate_Fra</t>
  </si>
  <si>
    <t>Inflation swap basis, year-on-year: every frequency 1Y and not zero coupon
Inflation swap fixed-float, zero coupon: a fixed leg instead of the floating one
Cross-currency swap basis (float-float): two notional currencies</t>
  </si>
  <si>
    <t>Inflation swap basis, year-on-year (InterestRate_InflationSwap_Basis_YearOn_Year): when every leg pays yearly (1Y) and the term is exactly one year - possible on a valid trade</t>
  </si>
  <si>
    <t>product-qualification-func.rosetta:1496</t>
  </si>
  <si>
    <t>FRA (forward rate agreement)</t>
  </si>
  <si>
    <t>InterestRate_Fra</t>
  </si>
  <si>
    <t>Forward rate agreement: one net payment on a single date, fixed rate vs floating index.</t>
  </si>
  <si>
    <t>One leg FixedRate, other FloatingRateName. subPayoutNPaymentDateUnadjusted set (single payment date), not subPayoutNPaymentDates.</t>
  </si>
  <si>
    <t>InterestRatePayout with FixedRateSpecification; InterestRatePayout with FloatingRateSpecification</t>
  </si>
  <si>
    <t>paymentDate (a single payment date) set on 2 InterestRatePayouts in all; exactly 1 Fixed and 1 Floating rateSpecification; cross-currency and OIS allowed</t>
  </si>
  <si>
    <t>+ payout.InterestRatePayout.rateSpecification.FixedRateSpecification  on 1 leg
+ payout.InterestRatePayout.rateSpecification.FloatingRateSpecification  on 1 leg
+ payout.InterestRatePayout.paymentDate  on both legs (a single payment date, not paymentDates)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</si>
  <si>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</t>
  </si>
  <si>
    <t>IRS fixed-float: paymentDates schedule instead of a paymentDate
Cap / floor / collar: one leg only</t>
  </si>
  <si>
    <t>Cross-currency swap fixed-float (InterestRate_CrossCurrency_FixedFloat): when two notional currencies and one paymentDate per leg (a cross-currency FRA) - possible on a valid trade
IRS fixed-float (InterestRate_IRSwap_FixedFloat): when a leg with both paymentDate and paymentDates - only with data CDM's validation rejects (InterestRatePayoutInterestRatePayoutChoice)</t>
  </si>
  <si>
    <t>payout[i].InterestRatePayout (was interestRatePayout[i] under contractualProduct). Rate is a choice: FixedRateSpecification / FloatingRateSpecification / InflationRateSpecification. FRA is told apart by paymentDate (single) instead of paymentDates.</t>
  </si>
  <si>
    <t>product-qualification-func.rosetta:1510</t>
  </si>
  <si>
    <t>Cap / floor / collar</t>
  </si>
  <si>
    <t>InterestRate_CapFloor</t>
  </si>
  <si>
    <t>Cap, floor or collar: one floating leg with a cap and/or floor strike rate.</t>
  </si>
  <si>
    <t>subPayout1FloatingRateName plus subPayout1FloatingRateCapRateStrikePrice and/or FloorRateStrikePrice (or their schedules). No subPayout1FixedRate. subPayout2 empty.</t>
  </si>
  <si>
    <t>InterestRatePayout with FloatingRateSpecification with capRateSchedule and/or floorRateSchedule</t>
  </si>
  <si>
    <t>exactly 1 InterestRatePayout</t>
  </si>
  <si>
    <t>+ payout.InterestRatePayout  exactly 1; any other payout only a SettlementPayout on a debt / interest-rate underlier
+ payout.InterestRatePayout.rateSpecification.FloatingRateSpecification  the floating rate
- payout.InterestRatePayout.rateSpecification.FloatingRateSpecification.capRateSchedule  a cap and/or (next row) a floor
- payout.InterestRatePayout.rateSpecification.FloatingRateSpecification.floorRateSchedule  a floor and/or a cap</t>
  </si>
  <si>
    <t>None (unique)</t>
  </si>
  <si>
    <t>IRS basis (float-float): two legs
FRA (forward rate agreement): two legs with a paymentDate</t>
  </si>
  <si>
    <t>Buy/sell-back (BuySellBack): when a floating buy/sell-back rate with a cap or floor - possible on a valid trade
Repo (RepurchaseAgreement): when a floating repo rate with a cap or floor - possible on a valid trade</t>
  </si>
  <si>
    <t>Interest rate leg; Payer / receiver; Cap / floor</t>
  </si>
  <si>
    <t>payout[i].InterestRatePayout (was interestRatePayout[i] under contractualProduct). Rate is a choice: FixedRateSpecification / FloatingRateSpecification / InflationRateSpecification. 5.27 qualified any trade with a floor; 6.29 fixed the brackets.</t>
  </si>
  <si>
    <t>product-qualification-func.rosetta:1525</t>
  </si>
  <si>
    <t>Swaption</t>
  </si>
  <si>
    <t>InterestRate_Option_Swaption</t>
  </si>
  <si>
    <t>optionPayout</t>
  </si>
  <si>
    <t>Option to enter an interest rate swap. subPayout1 / subPayout2 describe the underlying swap, not the option.</t>
  </si>
  <si>
    <t>mainPayout = optionPayout with subPayout1 = subPayout2 = interestRatePayout. Inner legs use the IR swap keys. Option keys: mainPayoutBuyer/Seller, exercise dates, SettlementType.</t>
  </si>
  <si>
    <t>OptionPayout (the only payout)
Underlier: an interest-rate product (underlier.Product). Inside it: 2 InterestRatePayouts; any product whose economic terms are interest rate passes (only InterestRatePayouts, a bond option / forward, or an option on such a product)</t>
  </si>
  <si>
    <t>the underlier is a Product whose economic terms are interest rate</t>
  </si>
  <si>
    <t>+ payout.OptionPayout  the only payout
+ payout.OptionPayout.underlier.Product.NonTransferableProduct.economicTerms.payout.InterestRatePayout  the underlying swap (only InterestRatePayouts)</t>
  </si>
  <si>
    <t>Debt option (bond option): underlier is a debt security (Observable)
CDS swaption (credit default swaption): underlying product is a CDS
Commodity swaption: underlying product is a commodity swap</t>
  </si>
  <si>
    <t>Option; Interest rate leg; Payer / receiver</t>
  </si>
  <si>
    <t>Underlying swap sits at OptionPayout.underlier.Product.NonTransferableProduct (was underlier.contractualProduct). Exercise styles merge into exerciseTerms.style; expirationTimeType is mandatory; strike moves to OptionPayout.strike.</t>
  </si>
  <si>
    <t>product-qualification-func.rosetta:1541</t>
  </si>
  <si>
    <t>Debt option (bond option)</t>
  </si>
  <si>
    <t>InterestRate_Option_DebtOption</t>
  </si>
  <si>
    <t>Option on a bond (debt security).</t>
  </si>
  <si>
    <t>mainPayout = optionPayout, subPayout1/2 empty. mainPayoutSecurityProductIdentifier + Source, mainPayoutSecurityType = Debt.</t>
  </si>
  <si>
    <t>OptionPayout (the only payout)
Underlier: a debt security (underlier.Observable)</t>
  </si>
  <si>
    <t>the underlier is an Observable (not a Product): a Security of type Debt, or a Basket of only debt securities</t>
  </si>
  <si>
    <t>+ payout.OptionPayout  the only payout
+ payout.OptionPayout.underlier.Observable.Asset.Instrument.Security.instrumentType  Debt (or a Basket of only debt)</t>
  </si>
  <si>
    <t>Credit_Option_NonStandard
EquityOption_PriceReturnBasicPerformance_SingleName
EquityOption_PriceReturnBasicPerformance_Index
EquityOption_PriceReturnBasicPerformance_Basket
Equity_OtherOption
ForeignExchange_NDO
ForeignExchange_VanillaOption
Commodity_Option
Commodity_Option_NonStandard</t>
  </si>
  <si>
    <t>Swaption: underlier is a Product
Equity option - single name: instrumentType Equity</t>
  </si>
  <si>
    <t>Option; Shared underlier</t>
  </si>
  <si>
    <t>Exercise styles merge into exerciseTerms.style; expirationTimeType is mandatory; strike moves to OptionPayout.strike. Underlier: underlier.Observable.Asset.Instrument.Security (instrumentType Debt).</t>
  </si>
  <si>
    <t>product-qualification-func.rosetta:1558</t>
  </si>
  <si>
    <t>Bond forward</t>
  </si>
  <si>
    <t>InterestRate_Forward_Debt</t>
  </si>
  <si>
    <t>forwardPayout</t>
  </si>
  <si>
    <t>Forward purchase or sale of a bond at an agreed price on a future date.</t>
  </si>
  <si>
    <t>mainPayout = forwardPayout, subPayout1/2 empty. mainPayoutSecurityProductIdentifier + Source, mainPayoutSecurityType = Debt. mainPayoutPayer/Receiver (not the FX leg keys).</t>
  </si>
  <si>
    <t>SettlementPayout (the only payout)
Underlier: a bond (Security)</t>
  </si>
  <si>
    <t>the underlier is a Security (Observable.Asset.Instrument.Security or Product.TransferableProduct.Instrument.Security); interest-rate asset class (debt / IR underlier)</t>
  </si>
  <si>
    <t>+ payout.SettlementPayout  the only payout
+ payout.SettlementPayout.underlier  the bond: Observable.Asset.Instrument.Security or Product.TransferableProduct.Instrument.Security, of instrumentType Debt - or a TransferableProduct Security whose economicTerms are interest rate</t>
  </si>
  <si>
    <t>EquityForward_PriceReturnBasicPerformance_SingleName
EquityForward_PriceReturnBasicPerformance_SingleIndex
EquityForward_PriceReturnBasicPerformance_Basket
Equity_OtherForward
ForeignExchange_Spot_Forward
ForeignExchange_Swap
ForeignExchange_NDF
ForeignExchange_NDS</t>
  </si>
  <si>
    <t>Equity forward - single name: instrumentType Equity
FX spot / forward: underlier is Cash
Commodity forward: two payouts, commodity underlier</t>
  </si>
  <si>
    <t>Equity forward - other (exotic) (Equity_OtherForward): when a non-standard forward on a debt Security whose economicTerms are equity - possible on a valid trade</t>
  </si>
  <si>
    <t>Forward; Shared underlier; Payer / receiver</t>
  </si>
  <si>
    <t>ForwardPayout is replaced by SettlementPayout.</t>
  </si>
  <si>
    <t>product-qualification-func.rosetta:1576</t>
  </si>
  <si>
    <t>Credit</t>
  </si>
  <si>
    <t>CDS - single name</t>
  </si>
  <si>
    <t>CreditDefaultSwap_SingleName</t>
  </si>
  <si>
    <t>creditDefaultPayout</t>
  </si>
  <si>
    <t>Credit default swap on one reference entity: protection buyer pays a fixed fee, seller pays out on a credit event.</t>
  </si>
  <si>
    <t>subPayout1 = creditDefaultPayout, subPayout2 = interestRatePayout (fixed fee leg). subPayout1ReferenceEntityName set; no subPayout1LoanProductIdentifier.</t>
  </si>
  <si>
    <t>CreditDefaultPayout; InterestRatePayout (optional: the fee leg)
Underlier: the reference entity (referenceInformation)</t>
  </si>
  <si>
    <t>generalTerms.referenceInformation set (one reference entity); payouts are 1+ CreditDefaultPayout alone, or exactly 1 CreditDefaultPayout + 1 InterestRatePayout</t>
  </si>
  <si>
    <t>referenceInformation.referenceObligation.loan</t>
  </si>
  <si>
    <t>+ payout.CreditDefaultPayout  the protection leg (1 or more; with a fee leg exactly 1)
+ payout.CreditDefaultPayout.generalTerms.referenceInformation  the reference: only this one of the three
- payout.CreditDefaultPayout.generalTerms.referenceInformation.referenceObligation.loan  absent
- payout.InterestRatePayout  optional: the fee leg (then exactly 1 + 1)</t>
  </si>
  <si>
    <t>CreditDefaultSwap_Index
CreditDefaultSwap_IndexTranche
CreditDefaultSwap_Loan
CreditDefaultSwap_Basket</t>
  </si>
  <si>
    <t>CDS - loan (LCDS): referenceObligation.loan present
CDS - index: indexReferenceInformation instead of referenceInformation
CDS - basket: basketReferenceInformation instead
Total return swap - credit index: PerformancePayout instead of CreditDefaultPayout</t>
  </si>
  <si>
    <t>CDS - basket (CreditDefaultSwap_Basket),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index (CreditDefaultSwap_Index),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index tranche (CreditDefaultSwap_IndexTranche),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</t>
  </si>
  <si>
    <t>Credit default leg; CDS fee leg; Payer / receiver</t>
  </si>
  <si>
    <t>CDM allows the fee leg to be absent; the input combination requires it.</t>
  </si>
  <si>
    <t>product-qualification-func.rosetta:253</t>
  </si>
  <si>
    <t>CDS - index</t>
  </si>
  <si>
    <t>CreditDefaultSwap_Index</t>
  </si>
  <si>
    <t>Credit default swap on a credit index.</t>
  </si>
  <si>
    <t>subPayout1IndexReferenceInformationIndexName / IndexId / IndexSeries set; no TrancheAttachmentPoint / ExhaustionPoint.</t>
  </si>
  <si>
    <t>CreditDefaultPayout; InterestRatePayout (optional: the fee leg)
Underlier: a credit index (indexReferenceInformation)</t>
  </si>
  <si>
    <t>generalTerms.indexReferenceInformation set; payouts as for single name</t>
  </si>
  <si>
    <t>indexReferenceInformation.tranche</t>
  </si>
  <si>
    <t>+ payout.CreditDefaultPayout  the protection leg (1 or more; with a fee leg exactly 1)
+ payout.CreditDefaultPayout.generalTerms.indexReferenceInformation  the reference: only this one of the three
- payout.CreditDefaultPayout.generalTerms.indexReferenceInformation.tranche  absent
- payout.InterestRatePayout  optional: the fee leg (then exactly 1 + 1)</t>
  </si>
  <si>
    <t>CreditDefaultSwap_SingleName
CreditDefaultSwap_IndexTranche
CreditDefaultSwap_Loan
CreditDefaultSwap_Basket</t>
  </si>
  <si>
    <t>CDS - index tranche: indexReferenceInformation.tranche present
CDS - single name: referenceInformation instead
Total return swap - credit index: PerformancePayout on a credit index instead of a CDS leg</t>
  </si>
  <si>
    <t>CDS - basket (CreditDefaultSwap_Basket),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loan (LCDS) (CreditDefaultSwap_Loan),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single name (CreditDefaultSwap_SingleName),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</t>
  </si>
  <si>
    <t>product-qualification-func.rosetta:265</t>
  </si>
  <si>
    <t>CDS - index tranche</t>
  </si>
  <si>
    <t>CreditDefaultSwap_IndexTranche</t>
  </si>
  <si>
    <t>Credit default swap on a tranche of a credit index.</t>
  </si>
  <si>
    <t>subPayout1IndexReferenceInformation* plus subPayout1IndexReferenceInformationTrancheAttachmentPoint and TrancheExhaustionPoint.</t>
  </si>
  <si>
    <t>CreditDefaultPayout; InterestRatePayout (optional: the fee leg)
Underlier: a tranche of a credit index</t>
  </si>
  <si>
    <t>generalTerms.indexReferenceInformation set, with a tranche; payouts as for single name</t>
  </si>
  <si>
    <t>+ payout.CreditDefaultPayout  the protection leg (1 or more; with a fee leg exactly 1)
+ payout.CreditDefaultPayout.generalTerms.indexReferenceInformation  the reference: only this one of the three
+ payout.CreditDefaultPayout.generalTerms.indexReferenceInformation.tranche  the tranche
- payout.InterestRatePayout  optional: the fee leg (then exactly 1 + 1)</t>
  </si>
  <si>
    <t>CreditDefaultSwap_SingleName
CreditDefaultSwap_Index
CreditDefaultSwap_Loan
CreditDefaultSwap_Basket</t>
  </si>
  <si>
    <t>CDS - index: no tranche</t>
  </si>
  <si>
    <t>product-qualification-func.rosetta:277</t>
  </si>
  <si>
    <t>CDS - loan (LCDS)</t>
  </si>
  <si>
    <t>CreditDefaultSwap_Loan</t>
  </si>
  <si>
    <t>Credit default swap whose reference obligation is a loan (LCDS).</t>
  </si>
  <si>
    <t>subPayout1ReferenceEntityName plus subPayout1LoanProductIdentifier + Source.</t>
  </si>
  <si>
    <t>CreditDefaultPayout; InterestRatePayout (optional: the fee leg)
Underlier: a reference entity with a loan as reference obligation</t>
  </si>
  <si>
    <t>generalTerms.referenceInformation set, with referenceObligation.loan; payouts as for single name</t>
  </si>
  <si>
    <t>+ payout.CreditDefaultPayout  the protection leg (1 or more; with a fee leg exactly 1)
+ payout.CreditDefaultPayout.generalTerms.referenceInformation  the reference: only this one of the three
+ payout.CreditDefaultPayout.generalTerms.referenceInformation.referenceObligation.loan  the loan
- payout.InterestRatePayout  optional: the fee leg (then exactly 1 + 1)</t>
  </si>
  <si>
    <t>CreditDefaultSwap_SingleName
CreditDefaultSwap_Index
CreditDefaultSwap_IndexTranche
CreditDefaultSwap_Basket</t>
  </si>
  <si>
    <t>CDS - single name: reference obligation is not a loan</t>
  </si>
  <si>
    <t>product-qualification-func.rosetta:289</t>
  </si>
  <si>
    <t>CDS - basket</t>
  </si>
  <si>
    <t>CreditDefaultSwap_Basket</t>
  </si>
  <si>
    <t>Credit default swap on a basket of reference entities.</t>
  </si>
  <si>
    <t>subPayout1BasketReferenceInformationBasketId / BasketName (and pool identifiers).</t>
  </si>
  <si>
    <t>CreditDefaultPayout; InterestRatePayout (optional: the fee leg)
Underlier: a basket of reference entities (basketReferenceInformation)</t>
  </si>
  <si>
    <t>generalTerms.basketReferenceInformation set; payouts as for single name</t>
  </si>
  <si>
    <t>+ payout.CreditDefaultPayout  the protection leg (1 or more; with a fee leg exactly 1)
+ payout.CreditDefaultPayout.generalTerms.basketReferenceInformation  the reference: only this one of the three
- payout.InterestRatePayout  optional: the fee leg (then exactly 1 + 1)</t>
  </si>
  <si>
    <t>CreditDefaultSwap_SingleName
CreditDefaultSwap_Index
CreditDefaultSwap_IndexTranche
CreditDefaultSwap_Loan</t>
  </si>
  <si>
    <t>CDS - single name: referenceInformation instead
CDS - index: indexReferenceInformation instead</t>
  </si>
  <si>
    <t>CDS - index (CreditDefaultSwap_Index),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index tranche (CreditDefaultSwap_IndexTranche),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loan (LCDS) (CreditDefaultSwap_Loan),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
CDS - single name (CreditDefaultSwap_SingleName), in 2 ways:
   - when two CreditDefaultPayouts, one with each of these reference kinds (single name and loan are never both true, nor index and index tranche: their 'absent' checks cover every leg) - possible on a valid trade
   - when one CreditDefaultPayout given the references of both kinds - only with data CDM's validation rejects (GeneralTermsGeneralTermsChoice)</t>
  </si>
  <si>
    <t>product-qualification-func.rosetta:301</t>
  </si>
  <si>
    <t>CDS swaption (credit default swaption)</t>
  </si>
  <si>
    <t>CreditDefaultSwaption</t>
  </si>
  <si>
    <t>Option to enter a credit default swap.</t>
  </si>
  <si>
    <t>mainPayout = optionPayout with subPayout1 = creditDefaultPayout, subPayout2 = interestRatePayout (the underlying CDS).</t>
  </si>
  <si>
    <t>OptionPayout (the only payout)
Underlier: a credit product (underlier.Product). Inside it: 1 CreditDefaultPayout + 1 InterestRatePayout (the fee leg); any product whose economic terms are credit passes</t>
  </si>
  <si>
    <t>the option's underlier is a Product whose economic terms are credit</t>
  </si>
  <si>
    <t>+ payout.OptionPayout  the only payout
+ payout.OptionPayout.underlier.Product.NonTransferableProduct.economicTerms.payout.CreditDefaultPayout  the underlying CDS (any credit product)</t>
  </si>
  <si>
    <t>Swaption: underlying product is interest rate
Commodity swaption: underlying product is a commodity swap
Credit option - non-standard: an option on a credit Observable; a non-standard one on a credit Product meets both</t>
  </si>
  <si>
    <t>Credit option - non-standard (Credit_Option_NonStandard): when nonStandardisedTerms = True (the standard rule does not check it) - possible on a valid trade</t>
  </si>
  <si>
    <t>Option; Credit default leg; CDS fee leg; Payer / receiver</t>
  </si>
  <si>
    <t>product-qualification-func.rosetta:312</t>
  </si>
  <si>
    <t>Total return swap - credit index</t>
  </si>
  <si>
    <t>TotalReturnSwap_Index</t>
  </si>
  <si>
    <t>performancePayout</t>
  </si>
  <si>
    <t>A TRS on a bond has no CDM 6.29 rule (see Gaps).</t>
  </si>
  <si>
    <t>Total return swap on a credit index: one leg pays the index performance, the other a funding rate.</t>
  </si>
  <si>
    <t>subPayout1 = performancePayout with subPayout1IndexProductIdentifier + Source (credit index); subPayout2 = interestRatePayout.</t>
  </si>
  <si>
    <t>PerformancePayout; InterestRatePayout
Underlier: a credit index (underlier.Observable.Index, assetClass Credit)</t>
  </si>
  <si>
    <t>exactly 2 payouts: 1 PerformancePayout + 1 InterestRatePayout; if the performance underlier is given, it is an Index with asset class Credit</t>
  </si>
  <si>
    <t>+ payout.PerformancePayout  exactly 1
+ payout.InterestRatePayout  exactly 1
+ payout.PerformancePayout.underlier.Observable.Index.CreditIndex.assetClass  Credit (any Index type with assetClass Credit)</t>
  </si>
  <si>
    <t>EquitySwap_PriceReturnBasicPerformance_SingleName
EquitySwap_TotalReturnBasicPerformance_SingleName
EquitySwap_PriceReturnBasicPerformance_Index
EquitySwap_TotalReturnBasicPerformance_Index
EquitySwap_PriceReturnBasicPerformance_Basket
EquitySwap_TotalReturnBasicPerformance_Basket
Equity_Swap_NonStandard</t>
  </si>
  <si>
    <t>Equity swap - price return, index: index assetClass = Equity
CDS - index: CreditDefaultPayout instead of PerformancePayout</t>
  </si>
  <si>
    <t>Performance leg; Interest rate leg; Payer / receiver</t>
  </si>
  <si>
    <t>New native qualifier in 6.x (the old custom TotalReturnSwap qualifier is not needed for index underliers).</t>
  </si>
  <si>
    <t>product-qualification-func.rosetta:339</t>
  </si>
  <si>
    <t>Credit option - non-standard</t>
  </si>
  <si>
    <t>Credit_Option_NonStandard</t>
  </si>
  <si>
    <t>Needs new input key</t>
  </si>
  <si>
    <t>No mainPayout key for an index or basket underlier.</t>
  </si>
  <si>
    <t>Credit option with non-standard terms (exotic).</t>
  </si>
  <si>
    <t>mainPayout = optionPayout, nonStandardisedTerms = true, credit index or basket underlier (no input key today).</t>
  </si>
  <si>
    <t>OptionPayout (the only payout)
Underlier: a credit Index (assetClass Credit), a Basket of only such indices, or a Product whose economic terms are credit</t>
  </si>
  <si>
    <t>credit underlier; EconomicTerms.nonStandardisedTerms = True</t>
  </si>
  <si>
    <t>+ payout.OptionPayout  the only payout
+ nonStandardisedTerms  True
+ payout.OptionPayout.underlier  credit: an Index with assetClass Credit, a Basket of only such indices, or a credit product</t>
  </si>
  <si>
    <t>InterestRate_Option_DebtOption
EquityOption_PriceReturnBasicPerformance_SingleName
EquityOption_PriceReturnBasicPerformance_Index
EquityOption_PriceReturnBasicPerformance_Basket
Equity_OtherOption
ForeignExchange_NDO
ForeignExchange_VanillaOption
Commodity_Option
Commodity_Option_NonStandard</t>
  </si>
  <si>
    <t>Equity option - other (exotic): underlier is equity
Commodity option - non-standard: underlier is commodity
Debt option (bond option): a debt security underlier</t>
  </si>
  <si>
    <t>CDS swaption (credit default swaption) (CreditDefaultSwaption): when nonStandardisedTerms = True (the standard rule does not check it) - possible on a valid trade</t>
  </si>
  <si>
    <t>Option</t>
  </si>
  <si>
    <t>Exercise styles merge into exerciseTerms.style; expirationTimeType is mandatory; strike moves to OptionPayout.strike. New in 6.x (replaces Credit_OptionOther).</t>
  </si>
  <si>
    <t>product-qualification-func.rosetta:1877</t>
  </si>
  <si>
    <t>Equity</t>
  </si>
  <si>
    <t>Equity swap - price return, single name</t>
  </si>
  <si>
    <t>EquitySwap_PriceReturnBasicPerformance_SingleName</t>
  </si>
  <si>
    <t>No input key for the return type (price vs total return); returnTerms never set.</t>
  </si>
  <si>
    <t>Equity swap paying the price return of a single share against a funding leg.</t>
  </si>
  <si>
    <t>subPayout1 = performancePayout, subPayout2 = interestRatePayout. subPayout1SecurityProductIdentifier + Source, subPayout1SecurityType = Equity. Price return only: needs a return-type key.</t>
  </si>
  <si>
    <t>PerformancePayout with returnTerms = priceReturnTerms only; InterestRatePayout
Underlier: a single equity Security (underlier.Observable.Asset.Instrument.Security)</t>
  </si>
  <si>
    <t>exactly 2 payouts; only PerformancePayout, InterestRatePayout or FixedPricePayout kinds; every PerformancePayout underlier is equity</t>
  </si>
  <si>
    <t>other returnTerms (dividend, variance, volatility, correlation)</t>
  </si>
  <si>
    <t>+ payout.PerformancePayout  exactly 1
+ payout.InterestRatePayout  exactly 1
+ payout.PerformancePayout.returnTerms.priceReturnTerms  the only return terms
+ payout.PerformancePayout.underlier.Observable.Asset.Instrument.Security  the share (a Security)
+ payout.PerformancePayout.underlier.Observable.Asset.Instrument.Security.instrumentType  Equity, Warrant, or Fund with fundType ExchangeTradedFund / MutualFund</t>
  </si>
  <si>
    <t>TotalReturnSwap_Index
EquitySwap_TotalReturnBasicPerformance_SingleName
EquitySwap_PriceReturnBasicPerformance_Index
EquitySwap_TotalReturnBasicPerformance_Index
EquitySwap_PriceReturnBasicPerformance_Basket
EquitySwap_TotalReturnBasicPerformance_Basket
Equity_Swap_NonStandard</t>
  </si>
  <si>
    <t>Equity swap - total return, single name: dividendReturnTerms too
Equity swap - price return, index: underlier is an Index
Equity swap - price return, basket: underlier is a Basket
Dividend swap - single name: FixedPricePayout + dividendReturnTerms instead</t>
  </si>
  <si>
    <t>Equity swap - non-standard (Equity_Swap_NonStandard): when nonStandardisedTerms = True (the standard rule does not check it) - possible on a valid trade</t>
  </si>
  <si>
    <t>PerformancePayout.returnTerms decides the product; the current build never sets returnTerms. Exactly 2 payouts.</t>
  </si>
  <si>
    <t>product-qualification-func.rosetta:387</t>
  </si>
  <si>
    <t>Equity swap - total return, single name</t>
  </si>
  <si>
    <t>EquitySwap_TotalReturnBasicPerformance_SingleName</t>
  </si>
  <si>
    <t>No input key for the return type; CDM may need a second PerformancePayout.</t>
  </si>
  <si>
    <t>Equity swap paying price plus dividends of a single share against a funding leg.</t>
  </si>
  <si>
    <t>subPayout1 = performancePayout, subPayout2 = interestRatePayout. subPayout1SecurityProductIdentifier + Source, subPayout1SecurityType = Equity. Price and dividend return: needs a return-type key.</t>
  </si>
  <si>
    <t>PerformancePayout with priceReturnTerms; PerformancePayout with dividendReturnTerms (or both in one); InterestRatePayout
Underlier: a single equity Security (type Equity, ETF / mutual Fund or Warrant)</t>
  </si>
  <si>
    <t>3 payouts (2 PerformancePayout + 1 InterestRatePayout) or 2 (1 + 1); priceReturnTerms and dividendReturnTerms both present; only PerformancePayout, InterestRatePayout or FixedPricePayout kinds; every PerformancePayout underlier is equity</t>
  </si>
  <si>
    <t>+ payout.PerformancePayout  1 (both return terms on it) or 2 (one each)
+ payout.InterestRatePayout  exactly 1
+ payout.PerformancePayout.returnTerms.priceReturnTerms  present
+ payout.PerformancePayout.returnTerms.dividendReturnTerms  present
+ payout.PerformancePayout.underlier.Observable.Asset.Instrument.Security  the share (a Security)
+ payout.PerformancePayout.underlier.Observable.Asset.Instrument.Security.instrumentType  Equity, Warrant, or Fund with fundType ExchangeTradedFund / MutualFund</t>
  </si>
  <si>
    <t>TotalReturnSwap_Index
EquitySwap_PriceReturnBasicPerformance_SingleName
EquitySwap_PriceReturnBasicPerformance_Index
EquitySwap_TotalReturnBasicPerformance_Index
EquitySwap_PriceReturnBasicPerformance_Basket
EquitySwap_TotalReturnBasicPerformance_Basket
Equity_Swap_NonStandard</t>
  </si>
  <si>
    <t>Equity swap - price return, single name: priceReturnTerms only
Equity swap - total return, index: underlier is an Index
Equity swap - total return, basket: underlier is a Basket</t>
  </si>
  <si>
    <t>Equity swap - total return, basket (EquitySwap_TotalReturnBasicPerformance_Basket): when the 3-payout form (2 PerformancePayouts) with one leg on each of these underlier kinds - possible on a valid trade
Equity swap - total return, index (EquitySwap_TotalReturnBasicPerformance_Index): when the 3-payout form (2 PerformancePayouts) with one leg on each of these underlier kinds - possible on a valid trade
Equity swap - non-standard (Equity_Swap_NonStandard): when nonStandardisedTerms = True (the standard rule does not check it) - possible on a valid trade</t>
  </si>
  <si>
    <t>PerformancePayout.returnTerms decides the product; the current build never sets returnTerms. 2 payouts (one PerformancePayout with both terms) or 3 (2 + 1).</t>
  </si>
  <si>
    <t>product-qualification-func.rosetta:448</t>
  </si>
  <si>
    <t>Equity swap - price return, index</t>
  </si>
  <si>
    <t>EquitySwap_PriceReturnBasicPerformance_Index</t>
  </si>
  <si>
    <t>Equity swap paying the price return of an equity index against a funding leg.</t>
  </si>
  <si>
    <t>subPayout1 = performancePayout, subPayout2 = interestRatePayout. subPayout1IndexProductIdentifier + Source (equity index). Price return only: needs a return-type key.</t>
  </si>
  <si>
    <t>PerformancePayout with returnTerms = priceReturnTerms only; InterestRatePayout
Underlier: an equity Index (underlier.Observable.Index, assetClass = Equity)</t>
  </si>
  <si>
    <t>other returnTerms</t>
  </si>
  <si>
    <t>+ payout.PerformancePayout  exactly 1
+ payout.InterestRatePayout  exactly 1
+ payout.PerformancePayout.returnTerms.priceReturnTerms  the only return terms
+ payout.PerformancePayout.underlier.Observable.Index  the index
+ payout.PerformancePayout.underlier.Observable.Index.EquityIndex.assetClass  Equity</t>
  </si>
  <si>
    <t>TotalReturnSwap_Index
EquitySwap_PriceReturnBasicPerformance_SingleName
EquitySwap_TotalReturnBasicPerformance_SingleName
EquitySwap_TotalReturnBasicPerformance_Index
EquitySwap_PriceReturnBasicPerformance_Basket
EquitySwap_TotalReturnBasicPerformance_Basket
Equity_Swap_NonStandard</t>
  </si>
  <si>
    <t>Equity swap - total return, index: dividendReturnTerms too
Equity swap - price return, single name: underlier is a share (Security)
Equity swap - price return, basket: underlier is a Basket
Dividend swap - index: FixedPricePayout + dividendReturnTerms instead</t>
  </si>
  <si>
    <t>product-qualification-func.rosetta:474</t>
  </si>
  <si>
    <t>Equity swap - total return, index</t>
  </si>
  <si>
    <t>EquitySwap_TotalReturnBasicPerformance_Index</t>
  </si>
  <si>
    <t>Equity swap paying price plus dividends of an equity index against a funding leg.</t>
  </si>
  <si>
    <t>subPayout1 = performancePayout, subPayout2 = interestRatePayout. subPayout1IndexProductIdentifier + Source (equity index). Price and dividend return: needs a return-type key.</t>
  </si>
  <si>
    <t>PerformancePayout with priceReturnTerms; PerformancePayout with dividendReturnTerms (or both in one); InterestRatePayout
Underlier: an equity Index (Index.assetClass = Equity)</t>
  </si>
  <si>
    <t>3 payouts (2 + 1) or 2 (1 + 1); priceReturnTerms and dividendReturnTerms both present; only PerformancePayout, InterestRatePayout or FixedPricePayout kinds; every PerformancePayout underlier is equity</t>
  </si>
  <si>
    <t>+ payout.PerformancePayout  1 (both return terms on it) or 2 (one each)
+ payout.InterestRatePayout  exactly 1
+ payout.PerformancePayout.returnTerms.priceReturnTerms  present
+ payout.PerformancePayout.returnTerms.dividendReturnTerms  present
+ payout.PerformancePayout.underlier.Observable.Index  the index
+ payout.PerformancePayout.underlier.Observable.Index.EquityIndex.assetClass  Equity</t>
  </si>
  <si>
    <t>TotalReturnSwap_Index
EquitySwap_PriceReturnBasicPerformance_SingleName
EquitySwap_TotalReturnBasicPerformance_SingleName
EquitySwap_PriceReturnBasicPerformance_Index
EquitySwap_PriceReturnBasicPerformance_Basket
EquitySwap_TotalReturnBasicPerformance_Basket
Equity_Swap_NonStandard</t>
  </si>
  <si>
    <t>Equity swap - price return, index: priceReturnTerms only
Equity swap - total return, single name: underlier is a share (Security)
Equity swap - total return, basket: underlier is a Basket</t>
  </si>
  <si>
    <t>Equity swap - total return, basket (EquitySwap_TotalReturnBasicPerformance_Basket): when the 3-payout form (2 PerformancePayouts) with one leg on each of these underlier kinds - possible on a valid trade
Equity swap - total return, single name (EquitySwap_TotalReturnBasicPerformance_SingleName): when the 3-payout form (2 PerformancePayouts) with one leg on each of these underlier kinds - possible on a valid trade
Equity swap - non-standard (Equity_Swap_NonStandard): when nonStandardisedTerms = True (the standard rule does not check it) - possible on a valid trade</t>
  </si>
  <si>
    <t>product-qualification-func.rosetta:496</t>
  </si>
  <si>
    <t>Equity swap - price return, basket</t>
  </si>
  <si>
    <t>EquitySwap_PriceReturnBasicPerformance_Basket</t>
  </si>
  <si>
    <t>Equity swap paying the price return of a basket of shares against a funding leg.</t>
  </si>
  <si>
    <t>subPayout1 = performancePayout, subPayout2 = interestRatePayout. subPayout1BasketReferenceInformation* (equity constituents). Price return only: needs a return-type key.</t>
  </si>
  <si>
    <t>PerformancePayout with returnTerms = priceReturnTerms only; InterestRatePayout
Underlier: a Basket with at least one equity constituent (underlier.Observable.Basket)</t>
  </si>
  <si>
    <t>+ payout.PerformancePayout  exactly 1
+ payout.InterestRatePayout  exactly 1
+ payout.PerformancePayout.returnTerms.priceReturnTerms  the only return terms
+ payout.PerformancePayout.underlier.Observable.Basket.basketConstituent  the constituents; at least one equity</t>
  </si>
  <si>
    <t>TotalReturnSwap_Index
EquitySwap_PriceReturnBasicPerformance_SingleName
EquitySwap_TotalReturnBasicPerformance_SingleName
EquitySwap_PriceReturnBasicPerformance_Index
EquitySwap_TotalReturnBasicPerformance_Index
EquitySwap_TotalReturnBasicPerformance_Basket
Equity_Swap_NonStandard</t>
  </si>
  <si>
    <t>Equity swap - total return, basket: dividendReturnTerms too
Equity swap - price return, single name: underlier is a share (Security)
Equity swap - price return, index: underlier is an Index
Dividend swap - basket: FixedPricePayout + dividendReturnTerms instead</t>
  </si>
  <si>
    <t>product-qualification-func.rosetta:522</t>
  </si>
  <si>
    <t>Equity swap - total return, basket</t>
  </si>
  <si>
    <t>EquitySwap_TotalReturnBasicPerformance_Basket</t>
  </si>
  <si>
    <t>Equity swap paying price plus dividends of a basket of shares against a funding leg.</t>
  </si>
  <si>
    <t>subPayout1 = performancePayout, subPayout2 = interestRatePayout. subPayout1BasketReferenceInformation* (equity constituents). Price and dividend return: needs a return-type key.</t>
  </si>
  <si>
    <t>PerformancePayout with priceReturnTerms; PerformancePayout with dividendReturnTerms (or both in one); InterestRatePayout
Underlier: a Basket with at least one equity constituent</t>
  </si>
  <si>
    <t>+ payout.PerformancePayout  1 (both return terms on it) or 2 (one each)
+ payout.InterestRatePayout  exactly 1
+ payout.PerformancePayout.returnTerms.priceReturnTerms  present
+ payout.PerformancePayout.returnTerms.dividendReturnTerms  present
+ payout.PerformancePayout.underlier.Observable.Basket.basketConstituent  the constituents; at least one equity</t>
  </si>
  <si>
    <t>TotalReturnSwap_Index
EquitySwap_PriceReturnBasicPerformance_SingleName
EquitySwap_TotalReturnBasicPerformance_SingleName
EquitySwap_PriceReturnBasicPerformance_Index
EquitySwap_TotalReturnBasicPerformance_Index
EquitySwap_PriceReturnBasicPerformance_Basket
Equity_Swap_NonStandard</t>
  </si>
  <si>
    <t>Equity swap - price return, basket: priceReturnTerms only
Equity swap - total return, single name: underlier is a share (Security)
Equity swap - total return, index: underlier is an Index</t>
  </si>
  <si>
    <t>Equity swap - total return, index (EquitySwap_TotalReturnBasicPerformance_Index): when the 3-payout form (2 PerformancePayouts) with one leg on each of these underlier kinds - possible on a valid trade
Equity swap - total return, single name (EquitySwap_TotalReturnBasicPerformance_SingleName): when the 3-payout form (2 PerformancePayouts) with one leg on each of these underlier kinds - possible on a valid trade
Equity swap - non-standard (Equity_Swap_NonStandard): when nonStandardisedTerms = True (the standard rule does not check it) - possible on a valid trade</t>
  </si>
  <si>
    <t>product-qualification-func.rosetta:544</t>
  </si>
  <si>
    <t>Variance swap - single name</t>
  </si>
  <si>
    <t>EquitySwap_ParameterReturnVariance_SingleName</t>
  </si>
  <si>
    <t>No input key for the return type; returnTerms never set.</t>
  </si>
  <si>
    <t>Variance swap: pays the difference between realised variance of a single share and a strike.</t>
  </si>
  <si>
    <t>subPayout1 = performancePayout, subPayout2 empty. subPayout1SecurityProductIdentifier + Source, subPayout1SecurityType = Equity. Needs a return-type key = Variance.</t>
  </si>
  <si>
    <t>PerformancePayout with returnTerms = varianceReturnTerms only (the only payout)
Underlier: a single equity Security (type Equity, ETF / mutual Fund or Warrant)</t>
  </si>
  <si>
    <t>exactly 1 payout; equity underlier</t>
  </si>
  <si>
    <t>+ payout.PerformancePayout  the only payout
+ payout.PerformancePayout.returnTerms.varianceReturnTerms  the only return terms
+ payout.PerformancePayout.underlier.Observable.Asset.Instrument.Security  the share (a Security)
+ payout.PerformancePayout.underlier.Observable.Asset.Instrument.Security.instrumentType  Equity, Warrant, or Fund with fundType ExchangeTradedFund / MutualFund</t>
  </si>
  <si>
    <t>EquitySwap_ParameterReturnVariance_Index
EquitySwap_ParameterReturnVariance_Basket
EquitySwap_ParameterReturnVolatility_SingleName
EquitySwap_ParameterReturnVolatility_Index
EquitySwap_ParameterReturnVolatility_Basket
EquitySwap_ParameterReturnCorrelation_Basket
ForeignExchange_ParameterReturnVariance
ForeignExchange_ParameterReturnVolatility
ForeignExchange_ParameterReturnCorrelation</t>
  </si>
  <si>
    <t>Volatility swap - single name: volatilityReturnTerms instead
Correlation swap - basket: correlationReturnTerms instead and a Basket underlier
Variance swap - index: underlier is an Index
Variance swap - basket: underlier is a Basket
Dispersion swap: two or more PerformancePayouts</t>
  </si>
  <si>
    <t>Performance leg</t>
  </si>
  <si>
    <t>PerformancePayout.returnTerms decides the product; the current build never sets returnTerms. Exactly 1 payout.</t>
  </si>
  <si>
    <t>product-qualification-func.rosetta:569</t>
  </si>
  <si>
    <t>Variance swap - index</t>
  </si>
  <si>
    <t>EquitySwap_ParameterReturnVariance_Index</t>
  </si>
  <si>
    <t>Variance swap: pays the difference between realised variance of an equity index and a strike.</t>
  </si>
  <si>
    <t>subPayout1 = performancePayout, subPayout2 empty. subPayout1IndexProductIdentifier + Source (equity index). Needs a return-type key = Variance.</t>
  </si>
  <si>
    <t>PerformancePayout with returnTerms = varianceReturnTerms only (the only payout)
Underlier: an equity Index (Index.assetClass = Equity)</t>
  </si>
  <si>
    <t>+ payout.PerformancePayout  the only payout
+ payout.PerformancePayout.returnTerms.varianceReturnTerms  the only return terms
+ payout.PerformancePayout.underlier.Observable.Index  the index
+ payout.PerformancePayout.underlier.Observable.Index.EquityIndex.assetClass  Equity</t>
  </si>
  <si>
    <t>EquitySwap_ParameterReturnVariance_SingleName
EquitySwap_ParameterReturnVariance_Basket
EquitySwap_ParameterReturnVolatility_SingleName
EquitySwap_ParameterReturnVolatility_Index
EquitySwap_ParameterReturnVolatility_Basket
EquitySwap_ParameterReturnCorrelation_Basket
ForeignExchange_ParameterReturnVariance
ForeignExchange_ParameterReturnVolatility
ForeignExchange_ParameterReturnCorrelation</t>
  </si>
  <si>
    <t>Volatility swap - index: volatilityReturnTerms instead
Correlation swap - basket: correlationReturnTerms instead and a Basket underlier
Variance swap - single name: underlier is a share (Security)
Variance swap - basket: underlier is a Basket
Dispersion swap: two or more PerformancePayouts
FX variance swap: an FX rate index</t>
  </si>
  <si>
    <t>FX variance swap (ForeignExchange_ParameterReturnVariance): when an FX rate index given assetClass = Equity - only with data CDM's validation rejects (ForeignExchangeRateIndexFXAssetClass)</t>
  </si>
  <si>
    <t>product-qualification-func.rosetta:589</t>
  </si>
  <si>
    <t>Variance swap - basket</t>
  </si>
  <si>
    <t>EquitySwap_ParameterReturnVariance_Basket</t>
  </si>
  <si>
    <t>Variance swap: pays the difference between realised variance of a basket of shares and a strike.</t>
  </si>
  <si>
    <t>subPayout1 = performancePayout, subPayout2 empty. subPayout1BasketReferenceInformation* (equity constituents). Needs a return-type key = Variance.</t>
  </si>
  <si>
    <t>PerformancePayout with returnTerms = varianceReturnTerms only (the only payout)
Underlier: a Basket with at least one equity constituent</t>
  </si>
  <si>
    <t>+ payout.PerformancePayout  the only payout
+ payout.PerformancePayout.returnTerms.varianceReturnTerms  the only return terms
+ payout.PerformancePayout.underlier.Observable.Basket.basketConstituent  the constituents; at least one equity</t>
  </si>
  <si>
    <t>EquitySwap_ParameterReturnVariance_SingleName
EquitySwap_ParameterReturnVariance_Index
EquitySwap_ParameterReturnVolatility_SingleName
EquitySwap_ParameterReturnVolatility_Index
EquitySwap_ParameterReturnVolatility_Basket
EquitySwap_ParameterReturnCorrelation_Basket
ForeignExchange_ParameterReturnVariance
ForeignExchange_ParameterReturnVolatility
ForeignExchange_ParameterReturnCorrelation</t>
  </si>
  <si>
    <t>Volatility swap - basket: volatilityReturnTerms instead
Correlation swap - basket: correlationReturnTerms instead
Variance swap - single name: underlier is a share (Security)
Variance swap - index: underlier is an Index
Dispersion swap: two or more PerformancePayouts</t>
  </si>
  <si>
    <t>product-qualification-func.rosetta:609</t>
  </si>
  <si>
    <t>Dispersion swap</t>
  </si>
  <si>
    <t>EquitySwap_ParameterReturnDispersion</t>
  </si>
  <si>
    <t>Not covered</t>
  </si>
  <si>
    <t>Combination (performancePayout, performancePayout) is not allowed; the input has 2 payout slots.</t>
  </si>
  <si>
    <t>Dispersion swap: index variance against the variances of its constituents.</t>
  </si>
  <si>
    <t>Several performancePayout legs with variance return: not expressible with the current keys.</t>
  </si>
  <si>
    <t>PerformancePayout with varianceReturnTerms; PerformancePayout with varianceReturnTerms; (more PerformancePayouts ...)
Underlier: equity (per leg)</t>
  </si>
  <si>
    <t>only PerformancePayouts, more than 1; varianceReturnTerms on more than 1; equity underliers</t>
  </si>
  <si>
    <t>volatilityReturnTerms, correlationReturnTerms, priceReturnTerms, dividendReturnTerms</t>
  </si>
  <si>
    <t>+ payout.PerformancePayout.returnTerms.varianceReturnTerms  on 2 or more legs; no other return terms on any leg
+ payout.PerformancePayout.underlier.Observable  equity on every leg</t>
  </si>
  <si>
    <t>Variance swap - index: only one PerformancePayout
Variance swap - basket: only one PerformancePayout</t>
  </si>
  <si>
    <t>PerformancePayout.returnTerms decides the product; the current build never sets returnTerms. More than 1 PerformancePayout, all variance.</t>
  </si>
  <si>
    <t>product-qualification-func.rosetta:629</t>
  </si>
  <si>
    <t>Volatility swap - single name</t>
  </si>
  <si>
    <t>EquitySwap_ParameterReturnVolatility_SingleName</t>
  </si>
  <si>
    <t>Volatility swap: pays the difference between realised volatility of a single share and a strike.</t>
  </si>
  <si>
    <t>subPayout1 = performancePayout, subPayout2 empty. subPayout1SecurityProductIdentifier + Source, subPayout1SecurityType = Equity. Needs a return-type key = Volatility.</t>
  </si>
  <si>
    <t>PerformancePayout with returnTerms = volatilityReturnTerms only (the only payout)
Underlier: a single equity Security (type Equity, ETF / mutual Fund or Warrant)</t>
  </si>
  <si>
    <t>+ payout.PerformancePayout  the only payout
+ payout.PerformancePayout.returnTerms.volatilityReturnTerms  the only return terms
+ payout.PerformancePayout.underlier.Observable.Asset.Instrument.Security  the share (a Security)
+ payout.PerformancePayout.underlier.Observable.Asset.Instrument.Security.instrumentType  Equity, Warrant, or Fund with fundType ExchangeTradedFund / MutualFund</t>
  </si>
  <si>
    <t>EquitySwap_ParameterReturnVariance_SingleName
EquitySwap_ParameterReturnVariance_Index
EquitySwap_ParameterReturnVariance_Basket
EquitySwap_ParameterReturnVolatility_Index
EquitySwap_ParameterReturnVolatility_Basket
EquitySwap_ParameterReturnCorrelation_Basket
ForeignExchange_ParameterReturnVariance
ForeignExchange_ParameterReturnVolatility
ForeignExchange_ParameterReturnCorrelation</t>
  </si>
  <si>
    <t>Variance swap - single name: varianceReturnTerms instead
Correlation swap - basket: correlationReturnTerms instead and a Basket underlier
Volatility swap - index: underlier is an Index
Volatility swap - basket: underlier is a Basket</t>
  </si>
  <si>
    <t>product-qualification-func.rosetta:649</t>
  </si>
  <si>
    <t>Volatility swap - index</t>
  </si>
  <si>
    <t>EquitySwap_ParameterReturnVolatility_Index</t>
  </si>
  <si>
    <t>Volatility swap: pays the difference between realised volatility of an equity index and a strike.</t>
  </si>
  <si>
    <t>subPayout1 = performancePayout, subPayout2 empty. subPayout1IndexProductIdentifier + Source (equity index). Needs a return-type key = Volatility.</t>
  </si>
  <si>
    <t>PerformancePayout with returnTerms = volatilityReturnTerms only (the only payout)
Underlier: an equity Index (Index.assetClass = Equity)</t>
  </si>
  <si>
    <t>+ payout.PerformancePayout  the only payout
+ payout.PerformancePayout.returnTerms.volatilityReturnTerms  the only return terms
+ payout.PerformancePayout.underlier.Observable.Index  the index
+ payout.PerformancePayout.underlier.Observable.Index.EquityIndex.assetClass  Equity</t>
  </si>
  <si>
    <t>EquitySwap_ParameterReturnVariance_SingleName
EquitySwap_ParameterReturnVariance_Index
EquitySwap_ParameterReturnVariance_Basket
EquitySwap_ParameterReturnVolatility_SingleName
EquitySwap_ParameterReturnVolatility_Basket
EquitySwap_ParameterReturnCorrelation_Basket
ForeignExchange_ParameterReturnVariance
ForeignExchange_ParameterReturnVolatility
ForeignExchange_ParameterReturnCorrelation</t>
  </si>
  <si>
    <t>Variance swap - index: varianceReturnTerms instead
Correlation swap - basket: correlationReturnTerms instead and a Basket underlier
Volatility swap - single name: underlier is a share (Security)
Volatility swap - basket: underlier is a Basket
FX volatility swap: an FX rate index</t>
  </si>
  <si>
    <t>FX volatility swap (ForeignExchange_ParameterReturnVolatility): when an FX rate index given assetClass = Equity - only with data CDM's validation rejects (ForeignExchangeRateIndexFXAssetClass)</t>
  </si>
  <si>
    <t>product-qualification-func.rosetta:669</t>
  </si>
  <si>
    <t>Volatility swap - basket</t>
  </si>
  <si>
    <t>EquitySwap_ParameterReturnVolatility_Basket</t>
  </si>
  <si>
    <t>Volatility swap: pays the difference between realised volatility of a basket of shares and a strike.</t>
  </si>
  <si>
    <t>subPayout1 = performancePayout, subPayout2 empty. subPayout1BasketReferenceInformation* (equity constituents). Needs a return-type key = Volatility.</t>
  </si>
  <si>
    <t>PerformancePayout with returnTerms = volatilityReturnTerms only (the only payout)
Underlier: a Basket with at least one equity constituent</t>
  </si>
  <si>
    <t>+ payout.PerformancePayout  the only payout
+ payout.PerformancePayout.returnTerms.volatilityReturnTerms  the only return terms
+ payout.PerformancePayout.underlier.Observable.Basket.basketConstituent  the constituents; at least one equity</t>
  </si>
  <si>
    <t>EquitySwap_ParameterReturnVariance_SingleName
EquitySwap_ParameterReturnVariance_Index
EquitySwap_ParameterReturnVariance_Basket
EquitySwap_ParameterReturnVolatility_SingleName
EquitySwap_ParameterReturnVolatility_Index
EquitySwap_ParameterReturnCorrelation_Basket
ForeignExchange_ParameterReturnVariance
ForeignExchange_ParameterReturnVolatility
ForeignExchange_ParameterReturnCorrelation</t>
  </si>
  <si>
    <t>Variance swap - basket: varianceReturnTerms instead
Correlation swap - basket: correlationReturnTerms instead
Volatility swap - single name: underlier is a share (Security)
Volatility swap - index: underlier is an Index</t>
  </si>
  <si>
    <t>product-qualification-func.rosetta:689</t>
  </si>
  <si>
    <t>Correlation swap - basket</t>
  </si>
  <si>
    <t>EquitySwap_ParameterReturnCorrelation_Basket</t>
  </si>
  <si>
    <t>Correlation swap: pays realised correlation of a basket of shares against a strike.</t>
  </si>
  <si>
    <t>subPayout1 = performancePayout, subPayout2 empty. subPayout1BasketReferenceInformation* (equity constituents). Needs a return-type key = Correlation.</t>
  </si>
  <si>
    <t>PerformancePayout with returnTerms = correlationReturnTerms only (the only payout)
Underlier: a Basket with at least one equity constituent</t>
  </si>
  <si>
    <t>+ payout.PerformancePayout  the only payout
+ payout.PerformancePayout.returnTerms.correlationReturnTerms  the only return terms
+ payout.PerformancePayout.underlier.Observable.Basket.basketConstituent  the constituents; at least one equity</t>
  </si>
  <si>
    <t>EquitySwap_ParameterReturnVariance_SingleName
EquitySwap_ParameterReturnVariance_Index
EquitySwap_ParameterReturnVariance_Basket
EquitySwap_ParameterReturnVolatility_SingleName
EquitySwap_ParameterReturnVolatility_Index
EquitySwap_ParameterReturnVolatility_Basket
ForeignExchange_ParameterReturnVariance
ForeignExchange_ParameterReturnVolatility
ForeignExchange_ParameterReturnCorrelation</t>
  </si>
  <si>
    <t>Variance swap - basket: varianceReturnTerms instead
Volatility swap - basket: volatilityReturnTerms instead
FX correlation swap: every constituent an FX rate index</t>
  </si>
  <si>
    <t>FX correlation swap (ForeignExchange_ParameterReturnCorrelation): when an FX rate index given assetClass = Equity - only with data CDM's validation rejects (ForeignExchangeRateIndexFXAssetClass)</t>
  </si>
  <si>
    <t>product-qualification-func.rosetta:709</t>
  </si>
  <si>
    <t>Dividend swap - single name</t>
  </si>
  <si>
    <t>EquitySwap_ParameterReturnDividend_SingleName</t>
  </si>
  <si>
    <t>fixedPricePayout</t>
  </si>
  <si>
    <t>Build gap</t>
  </si>
  <si>
    <t>Combination is unique, but returnTerms (dividendReturnTerms) is never set.</t>
  </si>
  <si>
    <t>Dividend swap: realised dividends of a single share against a fixed amount.</t>
  </si>
  <si>
    <t>subPayout1 = performancePayout, subPayout2 = fixedPricePayout. subPayout1SecurityProductIdentifier + Source, subPayout1SecurityType = Equity.</t>
  </si>
  <si>
    <t>PerformancePayout with returnTerms = dividendReturnTerms only; FixedPricePayout
Underlier: a single equity Security (type Equity, ETF / mutual Fund or Warrant)</t>
  </si>
  <si>
    <t>only PerformancePayout and FixedPricePayout kinds, exactly 1 PerformancePayout; equity underlier</t>
  </si>
  <si>
    <t>+ payout.PerformancePayout  exactly 1
+ payout.FixedPricePayout  1 or more
+ payout.PerformancePayout.returnTerms.dividendReturnTerms  the only return terms
+ payout.PerformancePayout.underlier.Observable.Asset.Instrument.Security  the share (a Security)
+ payout.PerformancePayout.underlier.Observable.Asset.Instrument.Security.instrumentType  Equity, Warrant, or Fund with fundType ExchangeTradedFund / MutualFund</t>
  </si>
  <si>
    <t>EquitySwap_ParameterReturnDividend_Index
EquitySwap_ParameterReturnDividend_Basket</t>
  </si>
  <si>
    <t>Equity swap - price return, single name: InterestRatePayout instead of FixedPricePayout, and priceReturnTerms instead of dividendReturnTerms
Dividend swap - index: underlier is an Index
Dividend swap - basket: underlier is a Basket</t>
  </si>
  <si>
    <t>Performance leg; Fixed price leg</t>
  </si>
  <si>
    <t>PerformancePayout.returnTerms decides the product; the current build never sets returnTerms.</t>
  </si>
  <si>
    <t>product-qualification-func.rosetta:727</t>
  </si>
  <si>
    <t>Dividend swap - index</t>
  </si>
  <si>
    <t>EquitySwap_ParameterReturnDividend_Index</t>
  </si>
  <si>
    <t>Dividend swap: realised dividends of an equity index against a fixed amount.</t>
  </si>
  <si>
    <t>subPayout1 = performancePayout, subPayout2 = fixedPricePayout. subPayout1IndexProductIdentifier + Source (equity index).</t>
  </si>
  <si>
    <t>PerformancePayout with returnTerms = dividendReturnTerms only; FixedPricePayout
Underlier: an equity Index (Index.assetClass = Equity)</t>
  </si>
  <si>
    <t>+ payout.PerformancePayout  exactly 1
+ payout.FixedPricePayout  1 or more
+ payout.PerformancePayout.returnTerms.dividendReturnTerms  the only return terms
+ payout.PerformancePayout.underlier.Observable.Index  the index
+ payout.PerformancePayout.underlier.Observable.Index.EquityIndex.assetClass  Equity</t>
  </si>
  <si>
    <t>EquitySwap_ParameterReturnDividend_SingleName
EquitySwap_ParameterReturnDividend_Basket</t>
  </si>
  <si>
    <t>Equity swap - price return, index: InterestRatePayout instead of FixedPricePayout, and priceReturnTerms instead of dividendReturnTerms
Dividend swap - single name: underlier is a share (Security)
Dividend swap - basket: underlier is a Basket</t>
  </si>
  <si>
    <t>product-qualification-func.rosetta:748</t>
  </si>
  <si>
    <t>Dividend swap - basket</t>
  </si>
  <si>
    <t>EquitySwap_ParameterReturnDividend_Basket</t>
  </si>
  <si>
    <t>Dividend swap: realised dividends of a basket of shares against a fixed amount.</t>
  </si>
  <si>
    <t>subPayout1 = performancePayout, subPayout2 = fixedPricePayout. subPayout1BasketReferenceInformation* (equity constituents).</t>
  </si>
  <si>
    <t>PerformancePayout with returnTerms = dividendReturnTerms only; FixedPricePayout
Underlier: a Basket with at least one equity constituent</t>
  </si>
  <si>
    <t>+ payout.PerformancePayout  exactly 1
+ payout.FixedPricePayout  1 or more
+ payout.PerformancePayout.returnTerms.dividendReturnTerms  the only return terms
+ payout.PerformancePayout.underlier.Observable.Basket.basketConstituent  the constituents; at least one equity</t>
  </si>
  <si>
    <t>EquitySwap_ParameterReturnDividend_SingleName
EquitySwap_ParameterReturnDividend_Index</t>
  </si>
  <si>
    <t>Equity swap - price return, basket: InterestRatePayout instead of FixedPricePayout, and priceReturnTerms instead of dividendReturnTerms
Dividend swap - single name: underlier is a share (Security)
Dividend swap - index: underlier is an Index</t>
  </si>
  <si>
    <t>product-qualification-func.rosetta:769</t>
  </si>
  <si>
    <t>Equity swap - non-standard</t>
  </si>
  <si>
    <t>Equity_Swap_NonStandard</t>
  </si>
  <si>
    <t>Equity swap with non-standard terms (exotic).</t>
  </si>
  <si>
    <t>subPayout1 = performancePayout, subPayout2 = interestRatePayout, equity underlier, nonStandardisedTerms = true.</t>
  </si>
  <si>
    <t>PerformancePayout; InterestRatePayout
Underlier: equity</t>
  </si>
  <si>
    <t>only these two kinds, exactly 1 of each; only PerformancePayout, InterestRatePayout or FixedPricePayout kinds; every PerformancePayout underlier is equity; EconomicTerms.nonStandardisedTerms = True</t>
  </si>
  <si>
    <t>+ payout.PerformancePayout  exactly 1
+ payout.InterestRatePayout  exactly 1
+ nonStandardisedTerms  True
+ payout.PerformancePayout.underlier.Observable  equity: a share, an Index with assetClass Equity, or a Basket with an equity constituent</t>
  </si>
  <si>
    <t>TotalReturnSwap_Index
EquitySwap_PriceReturnBasicPerformance_SingleName
EquitySwap_TotalReturnBasicPerformance_SingleName
EquitySwap_PriceReturnBasicPerformance_Index
EquitySwap_TotalReturnBasicPerformance_Index
EquitySwap_PriceReturnBasicPerformance_Basket
EquitySwap_TotalReturnBasicPerformance_Basket</t>
  </si>
  <si>
    <t>Dividend swap - single name: FixedPricePayout instead of InterestRatePayout
Total return swap - credit index: credit index underlier</t>
  </si>
  <si>
    <t>Equity swap - price return, basket (EquitySwap_PriceReturnBasicPerformance_Basket): when nonStandardisedTerms = True (the standard rule does not check it) - possible on a valid trade
Equity swap - price return, index (EquitySwap_PriceReturnBasicPerformance_Index): when nonStandardisedTerms = True (the standard rule does not check it) - possible on a valid trade
Equity swap - price return, single name (EquitySwap_PriceReturnBasicPerformance_SingleName): when nonStandardisedTerms = True (the standard rule does not check it) - possible on a valid trade
Equity swap - total return, basket (EquitySwap_TotalReturnBasicPerformance_Basket): when nonStandardisedTerms = True (the standard rule does not check it) - possible on a valid trade
Equity swap - total return, index (EquitySwap_TotalReturnBasicPerformance_Index): when nonStandardisedTerms = True (the standard rule does not check it) - possible on a valid trade
Equity swap - total return, single name (EquitySwap_TotalReturnBasicPerformance_SingleName): when nonStandardisedTerms = True (the standard rule does not check it) - possible on a valid trade</t>
  </si>
  <si>
    <t>Renamed from Equity_OtherSwap. Standard equity swap rules no longer check nonStandardisedTerms, so both can match.</t>
  </si>
  <si>
    <t>product-qualification-func.rosetta:1862</t>
  </si>
  <si>
    <t>Equity forward - single name</t>
  </si>
  <si>
    <t>EquityForward_PriceReturnBasicPerformance_SingleName</t>
  </si>
  <si>
    <t>Forward on a single share.</t>
  </si>
  <si>
    <t>mainPayout = forwardPayout, mainPayoutSecurityProductIdentifier + Source, mainPayoutSecurityType = Equity.</t>
  </si>
  <si>
    <t>SettlementPayout (the only payout)
Underlier: a single equity Security (type Equity, ETF / mutual Fund or Warrant)</t>
  </si>
  <si>
    <t>exactly 1 SettlementPayout and nothing else; equity underlier; nonStandardisedTerms is not checked (a non-standard one meets Equity_OtherForward too: see Can also match)</t>
  </si>
  <si>
    <t>+ payout.SettlementPayout  the only payout
+ payout.SettlementPayout.underlier.Observable.Asset.Instrument.Security  the share (a Security)
+ payout.SettlementPayout.underlier.Observable.Asset.Instrument.Security.instrumentType  Equity, Warrant, or Fund with fundType ExchangeTradedFund / MutualFund</t>
  </si>
  <si>
    <t>InterestRate_Forward_Debt
EquityForward_PriceReturnBasicPerformance_SingleIndex
EquityForward_PriceReturnBasicPerformance_Basket
Equity_OtherForward
ForeignExchange_Spot_Forward
ForeignExchange_Swap
ForeignExchange_NDF
ForeignExchange_NDS</t>
  </si>
  <si>
    <t>Equity forward - index: underlier is an Index
Equity forward - basket: underlier is a Basket
FX spot / forward: underlier is Cash</t>
  </si>
  <si>
    <t>Equity forward - other (exotic) (Equity_OtherForward): when nonStandardisedTerms = True (the standard rule does not check it) - possible on a valid trade</t>
  </si>
  <si>
    <t>ForwardPayout is replaced by SettlementPayout. Underlier path: underlier.Observable.Asset.Instrument.Security (instrumentType Equity).</t>
  </si>
  <si>
    <t>product-qualification-func.rosetta:409</t>
  </si>
  <si>
    <t>Equity forward - index</t>
  </si>
  <si>
    <t>EquityForward_PriceReturnBasicPerformance_SingleIndex</t>
  </si>
  <si>
    <t>No mainPayout key for an index underlier.</t>
  </si>
  <si>
    <t>Forward on an equity index.</t>
  </si>
  <si>
    <t>mainPayout = forwardPayout plus an equity index underlier (no input key today).</t>
  </si>
  <si>
    <t>SettlementPayout (the only payout)
Underlier: an equity Index (Index.assetClass = Equity)</t>
  </si>
  <si>
    <t>+ payout.SettlementPayout  the only payout
+ payout.SettlementPayout.underlier.Observable.Index  the index
+ payout.SettlementPayout.underlier.Observable.Index.EquityIndex.assetClass  Equity
+ payout.SettlementPayout.settlementTerms.cashSettlementTerms  cash settled (CDM condition for an index underlier)</t>
  </si>
  <si>
    <t>InterestRate_Forward_Debt
EquityForward_PriceReturnBasicPerformance_SingleName
EquityForward_PriceReturnBasicPerformance_Basket
Equity_OtherForward
ForeignExchange_Spot_Forward
ForeignExchange_Swap
ForeignExchange_NDF
ForeignExchange_NDS</t>
  </si>
  <si>
    <t>Equity forward - single name: underlier is a share (Security)
Equity forward - basket: underlier is a Basket
FX spot / forward: underlier is Cash</t>
  </si>
  <si>
    <t>Forward; Payer / receiver</t>
  </si>
  <si>
    <t>product-qualification-func.rosetta:422</t>
  </si>
  <si>
    <t>Equity forward - basket</t>
  </si>
  <si>
    <t>EquityForward_PriceReturnBasicPerformance_Basket</t>
  </si>
  <si>
    <t>No mainPayout key for a basket underlier.</t>
  </si>
  <si>
    <t>Forward on a basket of shares.</t>
  </si>
  <si>
    <t>mainPayout = forwardPayout plus a basket underlier (no input key today).</t>
  </si>
  <si>
    <t>SettlementPayout (the only payout)
Underlier: a Basket with at least one equity constituent</t>
  </si>
  <si>
    <t>+ payout.SettlementPayout  the only payout
+ payout.SettlementPayout.underlier.Observable.Basket.basketConstituent  the constituents; at least one equity</t>
  </si>
  <si>
    <t>InterestRate_Forward_Debt
EquityForward_PriceReturnBasicPerformance_SingleName
EquityForward_PriceReturnBasicPerformance_SingleIndex
Equity_OtherForward
ForeignExchange_Spot_Forward
ForeignExchange_Swap
ForeignExchange_NDF
ForeignExchange_NDS</t>
  </si>
  <si>
    <t>Equity forward - single name: underlier is a share (Security)
Equity forward - index: underlier is an Index
FX spot / forward: underlier is Cash</t>
  </si>
  <si>
    <t>product-qualification-func.rosetta:435</t>
  </si>
  <si>
    <t>Equity forward - other (exotic)</t>
  </si>
  <si>
    <t>Equity_OtherForward</t>
  </si>
  <si>
    <t>Equity forward with non-standard terms (exotic).</t>
  </si>
  <si>
    <t>As the single-name forward plus nonStandardisedTerms = true.</t>
  </si>
  <si>
    <t>SettlementPayout (the only payout)
Underlier: equity</t>
  </si>
  <si>
    <t>exactly 1 payout; equity underlier; EconomicTerms.nonStandardisedTerms = True. On its own only when the underlier is equity but not a Security, Index or Basket, or is an equity TransferableProduct that is not a debt Security (a debt one also meets the bond forward rule): a share, index or basket also meets a single name / index / basket forward rule</t>
  </si>
  <si>
    <t>+ payout.SettlementPayout  the only payout
+ nonStandardisedTerms  True
+ payout.SettlementPayout.underlier  equity: an equity observable (a share, index or basket also meets the single name / index / basket forward rule) or a TransferableProduct whose economicTerms are equity</t>
  </si>
  <si>
    <t>InterestRate_Forward_Debt
EquityForward_PriceReturnBasicPerformance_SingleName
EquityForward_PriceReturnBasicPerformance_SingleIndex
EquityForward_PriceReturnBasicPerformance_Basket
ForeignExchange_Spot_Forward
ForeignExchange_Swap
ForeignExchange_NDF
ForeignExchange_NDS</t>
  </si>
  <si>
    <t>FX spot / forward: underlier is Cash
Commodity forward: two payouts, commodity underlier</t>
  </si>
  <si>
    <t>Equity forward - basket (EquityForward_PriceReturnBasicPerformance_Basket): when nonStandardisedTerms = True (the standard rule does not check it) - possible on a valid trade
Equity forward - index (EquityForward_PriceReturnBasicPerformance_SingleIndex): when nonStandardisedTerms = True (the standard rule does not check it) - possible on a valid trade
Equity forward - single name (EquityForward_PriceReturnBasicPerformance_SingleName): when nonStandardisedTerms = True (the standard rule does not check it) - possible on a valid trade
Bond forward (InterestRate_Forward_Debt): when a non-standard forward on a debt Security whose economicTerms are equity - possible on a valid trade</t>
  </si>
  <si>
    <t>Forward; Shared underlier</t>
  </si>
  <si>
    <t>ForwardPayout is replaced by SettlementPayout. A share / index / basket forward also matches its standard rule, giving no qualifier.</t>
  </si>
  <si>
    <t>product-qualification-func.rosetta:800</t>
  </si>
  <si>
    <t>Equity option - single name</t>
  </si>
  <si>
    <t>EquityOption_PriceReturnBasicPerformance_SingleName</t>
  </si>
  <si>
    <t>Call or put option on a single share.</t>
  </si>
  <si>
    <t>mainPayout = optionPayout, subPayout1/2 empty. mainPayoutSecurityProductIdentifier + Source, mainPayoutSecurityType = Equity. nonStandardisedTerms not true.</t>
  </si>
  <si>
    <t>OptionPayout (the only payout)
Underlier: a single equity Security (underlier.Observable.Asset)</t>
  </si>
  <si>
    <t>equity underlier; OptionPayout.feature absent, or averagingFeature as its only feature, or exactly one fxFeature with quanto or composite (then the other features are not checked); nonStandardisedTerms not True</t>
  </si>
  <si>
    <t>other option features (unless there is a single quanto / composite fxFeature)</t>
  </si>
  <si>
    <t>+ payout.OptionPayout  the only payout
+ payout.OptionPayout.underlier.Observable.Asset.Instrument.Security  the share (a Security)
+ payout.OptionPayout.underlier.Observable.Asset.Instrument.Security.instrumentType  Equity, Warrant, or Fund with fundType ExchangeTradedFund / MutualFund
- payout.OptionPayout.feature  absent, averagingFeature only, or a single fxFeature with quanto / composite
- nonStandardisedTerms  absent or False</t>
  </si>
  <si>
    <t>InterestRate_Option_DebtOption
Credit_Option_NonStandard
EquityOption_PriceReturnBasicPerformance_Index
EquityOption_PriceReturnBasicPerformance_Basket
Equity_OtherOption
ForeignExchange_NDO
ForeignExchange_VanillaOption
Commodity_Option
Commodity_Option_NonStandard</t>
  </si>
  <si>
    <t>Equity option - index: underlier is an Index
Equity option - basket: underlier is a Basket
Equity option - other (exotic): nonStandardisedTerms = True
Variance option - single name: underlier is a Product (a variance swap)</t>
  </si>
  <si>
    <t>Exercise styles merge into exerciseTerms.style; expirationTimeType is mandatory; strike moves to OptionPayout.strike. Underlier path: underlier.Observable.Asset.Instrument.Security (instrumentType Equity).</t>
  </si>
  <si>
    <t>product-qualification-func.rosetta:813</t>
  </si>
  <si>
    <t>Equity option - index</t>
  </si>
  <si>
    <t>EquityOption_PriceReturnBasicPerformance_Index</t>
  </si>
  <si>
    <t>Call or put option on an equity index.</t>
  </si>
  <si>
    <t>mainPayout = optionPayout plus an equity index underlier (no input key today).</t>
  </si>
  <si>
    <t>OptionPayout (the only payout)
Underlier: an EquityIndex (underlier.Observable.Index.EquityIndex) with assetClass = Equity</t>
  </si>
  <si>
    <t>+ payout.OptionPayout  the only payout
+ payout.OptionPayout.underlier.Observable.Index  the index
+ payout.OptionPayout.underlier.Observable.Index.EquityIndex.assetClass  Equity
- payout.OptionPayout.feature  absent, averagingFeature only, or a single fxFeature with quanto / composite
- nonStandardisedTerms  absent or False</t>
  </si>
  <si>
    <t>InterestRate_Option_DebtOption
Credit_Option_NonStandard
EquityOption_PriceReturnBasicPerformance_SingleName
EquityOption_PriceReturnBasicPerformance_Basket
Equity_OtherOption
ForeignExchange_NDO
ForeignExchange_VanillaOption
Commodity_Option
Commodity_Option_NonStandard</t>
  </si>
  <si>
    <t>Equity option - single name: underlier is a share (Security)
Equity option - basket: underlier is a Basket
Equity option - other (exotic): nonStandardisedTerms = True
Variance option - index: underlier is a Product (a variance swap)</t>
  </si>
  <si>
    <t>Exercise styles merge into exerciseTerms.style; expirationTimeType is mandatory; strike moves to OptionPayout.strike.</t>
  </si>
  <si>
    <t>product-qualification-func.rosetta:838</t>
  </si>
  <si>
    <t>Equity option - basket</t>
  </si>
  <si>
    <t>EquityOption_PriceReturnBasicPerformance_Basket</t>
  </si>
  <si>
    <t>Call or put option on a basket of shares.</t>
  </si>
  <si>
    <t>mainPayout = optionPayout plus a basket underlier (no input key today).</t>
  </si>
  <si>
    <t>OptionPayout (the only payout)
Underlier: a Basket with at least one equity constituent</t>
  </si>
  <si>
    <t>+ payout.OptionPayout  the only payout
+ payout.OptionPayout.underlier.Observable.Basket.basketConstituent  the constituents; at least one equity
- payout.OptionPayout.feature  absent, averagingFeature only, or a single fxFeature with quanto / composite
- nonStandardisedTerms  absent or False</t>
  </si>
  <si>
    <t>InterestRate_Option_DebtOption
Credit_Option_NonStandard
EquityOption_PriceReturnBasicPerformance_SingleName
EquityOption_PriceReturnBasicPerformance_Index
Equity_OtherOption
ForeignExchange_NDO
ForeignExchange_VanillaOption
Commodity_Option
Commodity_Option_NonStandard</t>
  </si>
  <si>
    <t>Equity option - single name: underlier is a share (Security)
Equity option - index: underlier is an Index
Equity option - other (exotic): nonStandardisedTerms = True
Variance option - basket: underlier is a Product (a variance swap)</t>
  </si>
  <si>
    <t>product-qualification-func.rosetta:860</t>
  </si>
  <si>
    <t>Variance option - single name</t>
  </si>
  <si>
    <t>EquityOption_ParameterReturnVariance_SingleName</t>
  </si>
  <si>
    <t>Option combination (performancePayout, empty) is not allowed.</t>
  </si>
  <si>
    <t>Option to enter a single-name variance swap.</t>
  </si>
  <si>
    <t>optionPayout over a performancePayout underlying swap: not expressible with the current keys.</t>
  </si>
  <si>
    <t>OptionPayout (the only payout)
Underlier: a variance swap on an equity single name (underlier.Product). Inside it: 1 PerformancePayout only, with varianceReturnTerms only, on an equity single name</t>
  </si>
  <si>
    <t>the underlier is a Product that itself qualifies as EquitySwap_ParameterReturnVariance_SingleName</t>
  </si>
  <si>
    <t>+ payout.OptionPayout  the only payout
+ payout.OptionPayout.underlier.Product.NonTransferableProduct.economicTerms.payout.PerformancePayout.returnTerms.varianceReturnTerms  the underlying variance swap (it must itself qualify as EquitySwap_ParameterReturnVariance_SingleName)
+ payout.OptionPayout.underlier.Product.NonTransferableProduct.economicTerms.payout.PerformancePayout.underlier.Observable.Asset.Instrument.Security  the share (a Security)
+ payout.OptionPayout.underlier.Product.NonTransferableProduct.economicTerms.payout.PerformancePayout.underlier.Observable.Asset.Instrument.Security.instrumentType  Equity, Warrant, or Fund with fundType ExchangeTradedFund / MutualFund</t>
  </si>
  <si>
    <t>EquityOption_ParameterReturnVariance_Index
EquityOption_ParameterReturnVariance_Basket
EquityOption_ParameterReturnVolatility_SingleName
EquityOption_ParameterReturnVolatility_Index
EquityOption_ParameterReturnVolatility_Basket
EquityOption_ParameterReturnCorrelation_Basket</t>
  </si>
  <si>
    <t>Variance option - index: the underlying swap is on an Index
Variance option - basket: the underlying swap is on a Basket
Equity option - single name: underlier is the asset itself (Observable)</t>
  </si>
  <si>
    <t>Equity option - other (exotic) (Equity_OtherOption): when nonStandardisedTerms = True (the standard rule does not check it) - possible on a valid trade</t>
  </si>
  <si>
    <t>Option; Performance leg</t>
  </si>
  <si>
    <t>product-qualification-func.rosetta:882</t>
  </si>
  <si>
    <t>Variance option - index</t>
  </si>
  <si>
    <t>EquityOption_ParameterReturnVariance_Index</t>
  </si>
  <si>
    <t>Option to enter a index variance swap.</t>
  </si>
  <si>
    <t>OptionPayout (the only payout)
Underlier: a variance swap on an equity index (underlier.Product). Inside it: 1 PerformancePayout only, with varianceReturnTerms only, on an equity index</t>
  </si>
  <si>
    <t>the underlier is a Product that itself qualifies as EquitySwap_ParameterReturnVariance_Index</t>
  </si>
  <si>
    <t>+ payout.OptionPayout  the only payout
+ payout.OptionPayout.underlier.Product.NonTransferableProduct.economicTerms.payout.PerformancePayout.returnTerms.varianceReturnTerms  the underlying variance swap (it must itself qualify as EquitySwap_ParameterReturnVariance_Index)
+ payout.OptionPayout.underlier.Product.NonTransferableProduct.economicTerms.payout.PerformancePayout.underlier.Observable.Index  the index
+ payout.OptionPayout.underlier.Product.NonTransferableProduct.economicTerms.payout.PerformancePayout.underlier.Observable.Index.EquityIndex.assetClass  Equity</t>
  </si>
  <si>
    <t>EquityOption_ParameterReturnVariance_SingleName
EquityOption_ParameterReturnVariance_Basket
EquityOption_ParameterReturnVolatility_SingleName
EquityOption_ParameterReturnVolatility_Index
EquityOption_ParameterReturnVolatility_Basket
EquityOption_ParameterReturnCorrelation_Basket</t>
  </si>
  <si>
    <t>Variance option - single name: the underlying swap is on a share (Security)
Variance option - basket: the underlying swap is on a Basket
Equity option - index: underlier is the asset itself (Observable)</t>
  </si>
  <si>
    <t>product-qualification-func.rosetta:902</t>
  </si>
  <si>
    <t>Variance option - basket</t>
  </si>
  <si>
    <t>EquityOption_ParameterReturnVariance_Basket</t>
  </si>
  <si>
    <t>Option to enter a basket variance swap.</t>
  </si>
  <si>
    <t>OptionPayout (the only payout)
Underlier: a variance swap on a basket with an equity constituent (underlier.Product). Inside it: 1 PerformancePayout only, with varianceReturnTerms only, on a basket with an equity constituent</t>
  </si>
  <si>
    <t>the underlier is a Product that itself qualifies as EquitySwap_ParameterReturnVariance_Basket</t>
  </si>
  <si>
    <t>+ payout.OptionPayout  the only payout
+ payout.OptionPayout.underlier.Product.NonTransferableProduct.economicTerms.payout.PerformancePayout.returnTerms.varianceReturnTerms  the underlying variance swap (it must itself qualify as EquitySwap_ParameterReturnVariance_Basket)
+ payout.OptionPayout.underlier.Product.NonTransferableProduct.economicTerms.payout.PerformancePayout.underlier.Observable.Basket.basketConstituent  the constituents; at least one equity</t>
  </si>
  <si>
    <t>EquityOption_ParameterReturnVariance_SingleName
EquityOption_ParameterReturnVariance_Index
EquityOption_ParameterReturnVolatility_SingleName
EquityOption_ParameterReturnVolatility_Index
EquityOption_ParameterReturnVolatility_Basket
EquityOption_ParameterReturnCorrelation_Basket</t>
  </si>
  <si>
    <t>Variance option - single name: the underlying swap is on a share (Security)
Variance option - index: the underlying swap is on an Index
Equity option - basket: underlier is the asset itself (Observable)</t>
  </si>
  <si>
    <t>Equity option - other (exotic) (Equity_OtherOption): when nonStandardisedTerms = True (the standard rule does not check it) - possible on a valid trade
FX NDO (non-deliverable option) (ForeignExchange_NDO): when an option on a basket swap whose basket has an equity constituent and an FX rate, European and cash settled - possible on a valid trade
FX vanilla option (ForeignExchange_VanillaOption), in 2 ways:
   - when an option on a basket swap whose basket has an equity constituent and an FX rate, European and cash settled - possible on a valid trade
   - when an option on a basket swap whose basket has an equity constituent and an FX rate - possible on a valid trade</t>
  </si>
  <si>
    <t>product-qualification-func.rosetta:921</t>
  </si>
  <si>
    <t>Volatility option - single name</t>
  </si>
  <si>
    <t>EquityOption_ParameterReturnVolatility_SingleName</t>
  </si>
  <si>
    <t>Option to enter a single-name volatility swap.</t>
  </si>
  <si>
    <t>OptionPayout (the only payout)
Underlier: a volatility swap on an equity single name (underlier.Product). Inside it: 1 PerformancePayout only, with volatilityReturnTerms only, on an equity single name</t>
  </si>
  <si>
    <t>the underlier is a Product that itself qualifies as EquitySwap_ParameterReturnVolatility_SingleName</t>
  </si>
  <si>
    <t>+ payout.OptionPayout  the only payout
+ payout.OptionPayout.underlier.Product.NonTransferableProduct.economicTerms.payout.PerformancePayout.returnTerms.volatilityReturnTerms  the underlying volatility swap (it must itself qualify as EquitySwap_ParameterReturnVolatility_SingleName)
+ payout.OptionPayout.underlier.Product.NonTransferableProduct.economicTerms.payout.PerformancePayout.underlier.Observable.Asset.Instrument.Security  the share (a Security)
+ payout.OptionPayout.underlier.Product.NonTransferableProduct.economicTerms.payout.PerformancePayout.underlier.Observable.Asset.Instrument.Security.instrumentType  Equity, Warrant, or Fund with fundType ExchangeTradedFund / MutualFund</t>
  </si>
  <si>
    <t>EquityOption_ParameterReturnVariance_SingleName
EquityOption_ParameterReturnVariance_Index
EquityOption_ParameterReturnVariance_Basket
EquityOption_ParameterReturnVolatility_Index
EquityOption_ParameterReturnVolatility_Basket
EquityOption_ParameterReturnCorrelation_Basket</t>
  </si>
  <si>
    <t>Volatility option - index: the underlying swap is on an Index
Volatility option - basket: the underlying swap is on a Basket
Equity option - single name: underlier is the asset itself (Observable)</t>
  </si>
  <si>
    <t>product-qualification-func.rosetta:939</t>
  </si>
  <si>
    <t>Volatility option - index</t>
  </si>
  <si>
    <t>EquityOption_ParameterReturnVolatility_Index</t>
  </si>
  <si>
    <t>Option to enter a index volatility swap.</t>
  </si>
  <si>
    <t>OptionPayout (the only payout)
Underlier: a volatility swap on an equity index (underlier.Product). Inside it: 1 PerformancePayout only, with volatilityReturnTerms only, on an equity index</t>
  </si>
  <si>
    <t>the underlier is a Product that itself qualifies as EquitySwap_ParameterReturnVolatility_Index</t>
  </si>
  <si>
    <t>+ payout.OptionPayout  the only payout
+ payout.OptionPayout.underlier.Product.NonTransferableProduct.economicTerms.payout.PerformancePayout.returnTerms.volatilityReturnTerms  the underlying volatility swap (it must itself qualify as EquitySwap_ParameterReturnVolatility_Index)
+ payout.OptionPayout.underlier.Product.NonTransferableProduct.economicTerms.payout.PerformancePayout.underlier.Observable.Index  the index
+ payout.OptionPayout.underlier.Product.NonTransferableProduct.economicTerms.payout.PerformancePayout.underlier.Observable.Index.EquityIndex.assetClass  Equity</t>
  </si>
  <si>
    <t>EquityOption_ParameterReturnVariance_SingleName
EquityOption_ParameterReturnVariance_Index
EquityOption_ParameterReturnVariance_Basket
EquityOption_ParameterReturnVolatility_SingleName
EquityOption_ParameterReturnVolatility_Basket
EquityOption_ParameterReturnCorrelation_Basket</t>
  </si>
  <si>
    <t>Volatility option - single name: the underlying swap is on a share (Security)
Volatility option - basket: the underlying swap is on a Basket
Equity option - index: underlier is the asset itself (Observable)</t>
  </si>
  <si>
    <t>product-qualification-func.rosetta:959</t>
  </si>
  <si>
    <t>Volatility option - basket</t>
  </si>
  <si>
    <t>EquityOption_ParameterReturnVolatility_Basket</t>
  </si>
  <si>
    <t>Option to enter a basket volatility swap.</t>
  </si>
  <si>
    <t>OptionPayout (the only payout)
Underlier: a volatility swap on a basket with an equity constituent (underlier.Product). Inside it: 1 PerformancePayout only, with volatilityReturnTerms only, on a basket with an equity constituent</t>
  </si>
  <si>
    <t>the underlier is a Product that itself qualifies as EquitySwap_ParameterReturnVolatility_Basket</t>
  </si>
  <si>
    <t>+ payout.OptionPayout  the only payout
+ payout.OptionPayout.underlier.Product.NonTransferableProduct.economicTerms.payout.PerformancePayout.returnTerms.volatilityReturnTerms  the underlying volatility swap (it must itself qualify as EquitySwap_ParameterReturnVolatility_Basket)
+ payout.OptionPayout.underlier.Product.NonTransferableProduct.economicTerms.payout.PerformancePayout.underlier.Observable.Basket.basketConstituent  the constituents; at least one equity</t>
  </si>
  <si>
    <t>EquityOption_ParameterReturnVariance_SingleName
EquityOption_ParameterReturnVariance_Index
EquityOption_ParameterReturnVariance_Basket
EquityOption_ParameterReturnVolatility_SingleName
EquityOption_ParameterReturnVolatility_Index
EquityOption_ParameterReturnCorrelation_Basket</t>
  </si>
  <si>
    <t>Volatility option - single name: the underlying swap is on a share (Security)
Volatility option - index: the underlying swap is on an Index
Equity option - basket: underlier is the asset itself (Observable)</t>
  </si>
  <si>
    <t>Equity option - other (exotic) (Equity_OtherOption): when nonStandardisedTerms = True (the standard rule does not check it) - possible on a valid trade
FX vanilla option (ForeignExchange_VanillaOption): when an option on a basket swap whose basket has an equity constituent and an FX rate - possible on a valid trade</t>
  </si>
  <si>
    <t>product-qualification-func.rosetta:977</t>
  </si>
  <si>
    <t>Correlation option - basket</t>
  </si>
  <si>
    <t>EquityOption_ParameterReturnCorrelation_Basket</t>
  </si>
  <si>
    <t>Option to enter a basket correlation swap.</t>
  </si>
  <si>
    <t>OptionPayout (the only payout)
Underlier: a correlation swap on a basket with an equity constituent (underlier.Product). Inside it: 1 PerformancePayout only, with correlationReturnTerms only, on a basket with an equity constituent</t>
  </si>
  <si>
    <t>the underlier is a Product that itself qualifies as EquitySwap_ParameterReturnCorrelation_Basket</t>
  </si>
  <si>
    <t>+ payout.OptionPayout  the only payout
+ payout.OptionPayout.underlier.Product.NonTransferableProduct.economicTerms.payout.PerformancePayout.returnTerms.correlationReturnTerms  the underlying correlation swap (it must itself qualify as EquitySwap_ParameterReturnCorrelation_Basket)
+ payout.OptionPayout.underlier.Product.NonTransferableProduct.economicTerms.payout.PerformancePayout.underlier.Observable.Basket.basketConstituent  the constituents; at least one equity</t>
  </si>
  <si>
    <t>EquityOption_ParameterReturnVariance_SingleName
EquityOption_ParameterReturnVariance_Index
EquityOption_ParameterReturnVariance_Basket
EquityOption_ParameterReturnVolatility_SingleName
EquityOption_ParameterReturnVolatility_Index
EquityOption_ParameterReturnVolatility_Basket</t>
  </si>
  <si>
    <t>Equity option - basket: underlier is the asset itself (Observable)</t>
  </si>
  <si>
    <t>product-qualification-func.rosetta:995</t>
  </si>
  <si>
    <t>Dividend option - single name</t>
  </si>
  <si>
    <t>EquityOption_ParameterReturnDividend_SingleName</t>
  </si>
  <si>
    <t>Option combination (performancePayout, fixedPricePayout) is not allowed.</t>
  </si>
  <si>
    <t>Option to enter a single-name dividend swap.</t>
  </si>
  <si>
    <t>optionPayout over a dividend swap: not expressible with the current keys.</t>
  </si>
  <si>
    <t>OptionPayout (the only payout)
Underlier: a dividend swap on an equity single name (underlier.Product). Inside it: 1 PerformancePayout with dividendReturnTerms only + 1 or more FixedPricePayouts, on an equity single name</t>
  </si>
  <si>
    <t>the underlier is a Product that itself qualifies as EquitySwap_ParameterReturnDividend_SingleName</t>
  </si>
  <si>
    <t>+ payout.OptionPayout  the only payout
+ payout.OptionPayout.underlier.Product.NonTransferableProduct.economicTerms.payout.PerformancePayout.returnTerms.dividendReturnTerms  the underlying dividend swap (it must itself qualify as EquitySwap_ParameterReturnDividend_SingleName)
+ payout.OptionPayout.underlier.Product.NonTransferableProduct.economicTerms.payout.PerformancePayout.underlier.Observable.Asset.Instrument.Security  the share (a Security)
+ payout.OptionPayout.underlier.Product.NonTransferableProduct.economicTerms.payout.PerformancePayout.underlier.Observable.Asset.Instrument.Security.instrumentType  Equity, Warrant, or Fund with fundType ExchangeTradedFund / MutualFund</t>
  </si>
  <si>
    <t>EquityOption_ParameterReturnDividend_Index
EquityOption_ParameterReturnDividend_Basket</t>
  </si>
  <si>
    <t>Dividend option - index: the underlying swap is on an Index
Dividend option - basket: the underlying swap is on a Basket
Equity option - single name: underlier is the asset itself (Observable)</t>
  </si>
  <si>
    <t>Option; Performance leg; Fixed price leg</t>
  </si>
  <si>
    <t>product-qualification-func.rosetta:1011</t>
  </si>
  <si>
    <t>Dividend option - index</t>
  </si>
  <si>
    <t>EquityOption_ParameterReturnDividend_Index</t>
  </si>
  <si>
    <t>Option to enter a index dividend swap.</t>
  </si>
  <si>
    <t>OptionPayout (the only payout)
Underlier: a dividend swap on an equity index (underlier.Product). Inside it: 1 PerformancePayout with dividendReturnTerms only + 1 or more FixedPricePayouts, on an equity index</t>
  </si>
  <si>
    <t>the underlier is a Product that itself qualifies as EquitySwap_ParameterReturnDividend_Index</t>
  </si>
  <si>
    <t>+ payout.OptionPayout  the only payout
+ payout.OptionPayout.underlier.Product.NonTransferableProduct.economicTerms.payout.PerformancePayout.returnTerms.dividendReturnTerms  the underlying dividend swap (it must itself qualify as EquitySwap_ParameterReturnDividend_Index)
+ payout.OptionPayout.underlier.Product.NonTransferableProduct.economicTerms.payout.PerformancePayout.underlier.Observable.Index  the index
+ payout.OptionPayout.underlier.Product.NonTransferableProduct.economicTerms.payout.PerformancePayout.underlier.Observable.Index.EquityIndex.assetClass  Equity</t>
  </si>
  <si>
    <t>EquityOption_ParameterReturnDividend_SingleName
EquityOption_ParameterReturnDividend_Basket</t>
  </si>
  <si>
    <t>Dividend option - single name: the underlying swap is on a share (Security)
Dividend option - basket: the underlying swap is on a Basket
Equity option - index: underlier is the asset itself (Observable)</t>
  </si>
  <si>
    <t>product-qualification-func.rosetta:1031</t>
  </si>
  <si>
    <t>Dividend option - basket</t>
  </si>
  <si>
    <t>EquityOption_ParameterReturnDividend_Basket</t>
  </si>
  <si>
    <t>Option to enter a basket dividend swap.</t>
  </si>
  <si>
    <t>OptionPayout (the only payout)
Underlier: a dividend swap on a basket with an equity constituent (underlier.Product). Inside it: 1 PerformancePayout with dividendReturnTerms only + 1 or more FixedPricePayouts, on a basket with an equity constituent</t>
  </si>
  <si>
    <t>the underlier is a Product that itself qualifies as EquitySwap_ParameterReturnDividend_Basket</t>
  </si>
  <si>
    <t>+ payout.OptionPayout  the only payout
+ payout.OptionPayout.underlier.Product.NonTransferableProduct.economicTerms.payout.PerformancePayout.returnTerms.dividendReturnTerms  the underlying dividend swap (it must itself qualify as EquitySwap_ParameterReturnDividend_Basket)
+ payout.OptionPayout.underlier.Product.NonTransferableProduct.economicTerms.payout.PerformancePayout.underlier.Observable.Basket.basketConstituent  the constituents; at least one equity</t>
  </si>
  <si>
    <t>EquityOption_ParameterReturnDividend_SingleName
EquityOption_ParameterReturnDividend_Index</t>
  </si>
  <si>
    <t>Dividend option - single name: the underlying swap is on a share (Security)
Dividend option - index: the underlying swap is on an Index
Equity option - basket: underlier is the asset itself (Observable)</t>
  </si>
  <si>
    <t>product-qualification-func.rosetta:1049</t>
  </si>
  <si>
    <t>Equity option - other (exotic)</t>
  </si>
  <si>
    <t>Equity_OtherOption</t>
  </si>
  <si>
    <t>Equity option with non-standard terms (exotic).</t>
  </si>
  <si>
    <t>As the single-name option plus nonStandardisedTerms = true.</t>
  </si>
  <si>
    <t>OptionPayout (the only payout)
Underlier: equity</t>
  </si>
  <si>
    <t>equity underlier; EconomicTerms.nonStandardisedTerms = True. On its own for an option on the asset itself (the price-return option rules need nonStandardisedTerms absent or False); an option on a variance / volatility / correlation / dividend swap meets that rule too</t>
  </si>
  <si>
    <t>+ payout.OptionPayout  the only payout
+ nonStandardisedTerms  True
+ payout.OptionPayout.underlier  equity: an equity observable or an equity product</t>
  </si>
  <si>
    <t>InterestRate_Option_DebtOption
Credit_Option_NonStandard
EquityOption_PriceReturnBasicPerformance_SingleName
EquityOption_PriceReturnBasicPerformance_Index
EquityOption_PriceReturnBasicPerformance_Basket
ForeignExchange_NDO
ForeignExchange_VanillaOption
Commodity_Option
Commodity_Option_NonStandard</t>
  </si>
  <si>
    <t>Credit option - non-standard: underlier is credit
Commodity option - non-standard: underlier is commodity</t>
  </si>
  <si>
    <t>Correlation option - basket (EquityOption_ParameterReturnCorrelation_Basket): when nonStandardisedTerms = True (the standard rule does not check it) - possible on a valid trade
Dividend option - basket (EquityOption_ParameterReturnDividend_Basket): when nonStandardisedTerms = True (the standard rule does not check it) - possible on a valid trade
Dividend option - index (EquityOption_ParameterReturnDividend_Index): when nonStandardisedTerms = True (the standard rule does not check it) - possible on a valid trade
Dividend option - single name (EquityOption_ParameterReturnDividend_SingleName): when nonStandardisedTerms = True (the standard rule does not check it) - possible on a valid trade
Variance option - basket (EquityOption_ParameterReturnVariance_Basket): when nonStandardisedTerms = True (the standard rule does not check it) - possible on a valid trade
Variance option - index (EquityOption_ParameterReturnVariance_Index): when nonStandardisedTerms = True (the standard rule does not check it) - possible on a valid trade
Variance option - single name (EquityOption_ParameterReturnVariance_SingleName): when nonStandardisedTerms = True (the standard rule does not check it) - possible on a valid trade
Volatility option - basket (EquityOption_ParameterReturnVolatility_Basket): when nonStandardisedTerms = True (the standard rule does not check it) - possible on a valid trade
Volatility option - index (EquityOption_ParameterReturnVolatility_Index): when nonStandardisedTerms = True (the standard rule does not check it) - possible on a valid trade
Volatility option - single name (EquityOption_ParameterReturnVolatility_SingleName): when nonStandardisedTerms = True (the standard rule does not check it) - possible on a valid trade
Commodity option - non-standard (Commodity_Option_NonStandard): when a non-standard option on a swap of 2 CommodityPayouts + 2 FixedPricePayouts + an equity PerformancePayout - possible on a valid trade
Commodity swaption (Commodity_Swaption): when a non-standard option on a swap of 2 CommodityPayouts + 2 FixedPricePayouts + an equity PerformancePayout - possible on a valid trade</t>
  </si>
  <si>
    <t>product-qualification-func.rosetta:1067</t>
  </si>
  <si>
    <t>Foreign exchange</t>
  </si>
  <si>
    <t>FX spot / forward</t>
  </si>
  <si>
    <t>ForeignExchange_Spot_Forward</t>
  </si>
  <si>
    <t>Exchange of two currencies on a spot or forward date, physically settled.</t>
  </si>
  <si>
    <t>mainPayout = forwardPayout. mainPayoutExchangeCurrency1/2 Currency, NotionalAmount, Payer, Receiver. No QuotedCurrencyPair (no cash settlement).</t>
  </si>
  <si>
    <t>SettlementPayout (the only payout)
Underlier: a currency (underlier.Observable.Asset.Cash)</t>
  </si>
  <si>
    <t>FX underlier (Cash, or an FX observable)</t>
  </si>
  <si>
    <t>settlementTerms.cashSettlementTerms (it is physically settled)</t>
  </si>
  <si>
    <t>+ payout.SettlementPayout  the only payout
+ payout.SettlementPayout.underlier.Observable.Asset.Cash  the currency bought (or an FX observable)
- payout.SettlementPayout.settlementTerms.cashSettlementTerms  absent (physically settled)</t>
  </si>
  <si>
    <t>InterestRate_Forward_Debt
EquityForward_PriceReturnBasicPerformance_SingleName
EquityForward_PriceReturnBasicPerformance_SingleIndex
EquityForward_PriceReturnBasicPerformance_Basket
Equity_OtherForward
ForeignExchange_Swap
ForeignExchange_NDF
ForeignExchange_NDS</t>
  </si>
  <si>
    <t>FX NDF (non-deliverable forward): cashSettlementTerms present
FX swap: two SettlementPayouts
Equity forward - single name: equity underlier
Bond forward: bond underlier</t>
  </si>
  <si>
    <t>Forward; Shared underlier (FX); Payer / receiver (FX legs)</t>
  </si>
  <si>
    <t>ForwardPayout is replaced by SettlementPayout. FX now one Cash asset per leg; currency2 / quoteBasis, cross-rate side rates and tenorPeriod are dropped.</t>
  </si>
  <si>
    <t>product-qualification-func.rosetta:1590</t>
  </si>
  <si>
    <t>FX swap</t>
  </si>
  <si>
    <t>ForeignExchange_Swap</t>
  </si>
  <si>
    <t>The input carries one forward per record (fxSwapLinkId links legs); CDM needs 2 SettlementPayouts.</t>
  </si>
  <si>
    <t>Near-leg and far-leg FX exchanges in opposite directions, traded together.</t>
  </si>
  <si>
    <t>Two FX legs in one product: no input keys for a second leg today (fxSwapLinkId only links records).</t>
  </si>
  <si>
    <t>SettlementPayout (near leg); SettlementPayout (far leg)
Underlier: currencies</t>
  </si>
  <si>
    <t>exactly 2 SettlementPayouts and nothing else; FX underliers</t>
  </si>
  <si>
    <t>settlementTerms.cashSettlementTerms</t>
  </si>
  <si>
    <t>+ payout.SettlementPayout  exactly 2, nothing else
+ payout.SettlementPayout.underlier.Observable.Asset.Cash  on both legs
- payout.SettlementPayout.settlementTerms.cashSettlementTerms  absent on both legs</t>
  </si>
  <si>
    <t>InterestRate_Forward_Debt
EquityForward_PriceReturnBasicPerformance_SingleName
EquityForward_PriceReturnBasicPerformance_SingleIndex
EquityForward_PriceReturnBasicPerformance_Basket
Equity_OtherForward
ForeignExchange_Spot_Forward
ForeignExchange_NDF
ForeignExchange_NDS</t>
  </si>
  <si>
    <t>FX NDS (non-deliverable swap): cashSettlementTerms on a leg
FX spot / forward: one SettlementPayout</t>
  </si>
  <si>
    <t>Exactly 2 SettlementPayouts, no cash settlement.</t>
  </si>
  <si>
    <t>product-qualification-func.rosetta:1607</t>
  </si>
  <si>
    <t>FX NDF (non-deliverable forward)</t>
  </si>
  <si>
    <t>ForeignExchange_NDF</t>
  </si>
  <si>
    <t>Non-deliverable forward: settled in cash in one currency against a fixing rate.</t>
  </si>
  <si>
    <t>mainPayout = forwardPayout, FX leg keys plus mainPayoutQuotedCurrencyPair* (all three), mainPayoutSettlementType = Cash, FxFixingDate* and PrimaryRateSource*.</t>
  </si>
  <si>
    <t>SettlementPayout with cashSettlementTerms (the only payout)
Underlier: a currency</t>
  </si>
  <si>
    <t>FX underlier</t>
  </si>
  <si>
    <t>+ payout.SettlementPayout  the only payout
+ payout.SettlementPayout.underlier.Observable.Asset.Cash  the currency (or an FX observable)
+ payout.SettlementPayout.settlementTerms.cashSettlementTerms  the cash settlement (non-deliverable)</t>
  </si>
  <si>
    <t>InterestRate_Forward_Debt
EquityForward_PriceReturnBasicPerformance_SingleName
EquityForward_PriceReturnBasicPerformance_SingleIndex
EquityForward_PriceReturnBasicPerformance_Basket
Equity_OtherForward
ForeignExchange_Spot_Forward
ForeignExchange_Swap
ForeignExchange_NDS</t>
  </si>
  <si>
    <t>FX spot / forward: no cashSettlementTerms
FX NDS (non-deliverable swap): two SettlementPayouts</t>
  </si>
  <si>
    <t>ForwardPayout is replaced by SettlementPayout. Cash settlement under settlementTerms.cashSettlementTerms.</t>
  </si>
  <si>
    <t>product-qualification-func.rosetta:1619</t>
  </si>
  <si>
    <t>FX NDS (non-deliverable swap)</t>
  </si>
  <si>
    <t>ForeignExchange_NDS</t>
  </si>
  <si>
    <t>Same two-leg limitation as FX swap.</t>
  </si>
  <si>
    <t>Non-deliverable FX swap: two cash-settled legs.</t>
  </si>
  <si>
    <t>Two FX legs, at least one cash-settled: no input keys for a second leg today.</t>
  </si>
  <si>
    <t>SettlementPayout; SettlementPayout
Underlier: currencies</t>
  </si>
  <si>
    <t>exactly 2 SettlementPayouts and nothing else; at least one of them has settlementTerms.cashSettlementTerms; FX underliers</t>
  </si>
  <si>
    <t>+ payout.SettlementPayout  exactly 2, nothing else
+ payout.SettlementPayout.underlier.Observable.Asset.Cash  on both legs
+ payout.SettlementPayout.settlementTerms.cashSettlementTerms  on at least one leg</t>
  </si>
  <si>
    <t>InterestRate_Forward_Debt
EquityForward_PriceReturnBasicPerformance_SingleName
EquityForward_PriceReturnBasicPerformance_SingleIndex
EquityForward_PriceReturnBasicPerformance_Basket
Equity_OtherForward
ForeignExchange_Spot_Forward
ForeignExchange_Swap
ForeignExchange_NDF</t>
  </si>
  <si>
    <t>FX swap: no cashSettlementTerms on either leg
FX NDF (non-deliverable forward): one SettlementPayout</t>
  </si>
  <si>
    <t>Exactly 2 SettlementPayouts, at least one with cashSettlementTerms.</t>
  </si>
  <si>
    <t>product-qualification-func.rosetta:1634</t>
  </si>
  <si>
    <t>FX NDO (non-deliverable option)</t>
  </si>
  <si>
    <t>ForeignExchange_NDO</t>
  </si>
  <si>
    <t>Non-deliverable FX option: European, cash-settled against a fixing.</t>
  </si>
  <si>
    <t>mainPayout = optionPayout, FX leg keys, mainPayoutQuotedCurrencyPair* (all three), mainPayoutSettlementType = Cash, European expiration dates.</t>
  </si>
  <si>
    <t>OptionPayout with cashSettlementTerms (the only payout)
Underlier: a currency</t>
  </si>
  <si>
    <t>exercise style European; FX underlier (Cash, or an FX product)</t>
  </si>
  <si>
    <t>+ payout.OptionPayout  the only payout
+ payout.OptionPayout.underlier.Observable.Asset.Cash  the currency (or an FX product)
+ payout.OptionPayout.exerciseTerms.style  European
+ payout.OptionPayout.settlementTerms.cashSettlementTerms  the cash settlement</t>
  </si>
  <si>
    <t>InterestRate_Option_DebtOption
Credit_Option_NonStandard
EquityOption_PriceReturnBasicPerformance_SingleName
EquityOption_PriceReturnBasicPerformance_Index
EquityOption_PriceReturnBasicPerformance_Basket
Equity_OtherOption
ForeignExchange_VanillaOption
Commodity_Option
Commodity_Option_NonStandard</t>
  </si>
  <si>
    <t>FX vanilla option: no feature (or averaging only) and either American style or no cashSettlementTerms</t>
  </si>
  <si>
    <t>Variance option - basket (EquityOption_ParameterReturnVariance_Basket): when an option on a basket swap whose basket has an equity constituent and an FX rate, European and cash settled - possible on a valid trade
FX vanilla option (ForeignExchange_VanillaOption), in 2 ways:
   - when an option on a basket swap whose basket has an equity constituent and an FX rate, European and cash settled - possible on a valid trade
   - when European exercise, cash settled (cashSettlementTerms), no option feature or averaging only - possible on a valid trade</t>
  </si>
  <si>
    <t>Option; Shared underlier (FX)</t>
  </si>
  <si>
    <t>Exercise styles merge into exerciseTerms.style; expirationTimeType is mandatory; strike moves to OptionPayout.strike. Native in 6.x (was a custom qualifier).</t>
  </si>
  <si>
    <t>product-qualification-func.rosetta:1646</t>
  </si>
  <si>
    <t>FX variance swap</t>
  </si>
  <si>
    <t>ForeignExchange_ParameterReturnVariance</t>
  </si>
  <si>
    <t>FX variance swap on an FX rate.</t>
  </si>
  <si>
    <t>subPayout1 = performancePayout, subPayout2 empty, FX rate index underlier. Needs a return-type key = Variance.</t>
  </si>
  <si>
    <t>PerformancePayout with returnTerms = varianceReturnTerms only (the only payout)
Underlier: an FX rate index</t>
  </si>
  <si>
    <t>the underlier is a ForeignExchangeRateIndex</t>
  </si>
  <si>
    <t>+ payout.PerformancePayout  the only payout
+ payout.PerformancePayout.returnTerms.varianceReturnTerms  the only return terms
+ payout.PerformancePayout.underlier.Observable.Index.ForeignExchangeRateIndex  the FX rate</t>
  </si>
  <si>
    <t>EquitySwap_ParameterReturnVariance_SingleName
EquitySwap_ParameterReturnVariance_Index
EquitySwap_ParameterReturnVariance_Basket
EquitySwap_ParameterReturnVolatility_SingleName
EquitySwap_ParameterReturnVolatility_Index
EquitySwap_ParameterReturnVolatility_Basket
EquitySwap_ParameterReturnCorrelation_Basket
ForeignExchange_ParameterReturnVolatility
ForeignExchange_ParameterReturnCorrelation</t>
  </si>
  <si>
    <t>Variance swap - index: an EquityIndex (assetClass Equity) instead of the FX rate index
FX volatility swap: volatilityReturnTerms</t>
  </si>
  <si>
    <t>Variance swap - index (EquitySwap_ParameterReturnVariance_Index): when an FX rate index given assetClass = Equity - only with data CDM's validation rejects (ForeignExchangeRateIndexFXAssetClass)</t>
  </si>
  <si>
    <t>product-qualification-func.rosetta:1661</t>
  </si>
  <si>
    <t>FX volatility swap</t>
  </si>
  <si>
    <t>ForeignExchange_ParameterReturnVolatility</t>
  </si>
  <si>
    <t>FX volatility swap on an FX rate.</t>
  </si>
  <si>
    <t>subPayout1 = performancePayout, subPayout2 empty, FX rate index underlier. Needs a return-type key = Volatility.</t>
  </si>
  <si>
    <t>PerformancePayout with returnTerms = volatilityReturnTerms only (the only payout)
Underlier: an FX rate index</t>
  </si>
  <si>
    <t>+ payout.PerformancePayout  the only payout
+ payout.PerformancePayout.returnTerms.volatilityReturnTerms  the only return terms
+ payout.PerformancePayout.underlier.Observable.Index.ForeignExchangeRateIndex  the FX rate</t>
  </si>
  <si>
    <t>EquitySwap_ParameterReturnVariance_SingleName
EquitySwap_ParameterReturnVariance_Index
EquitySwap_ParameterReturnVariance_Basket
EquitySwap_ParameterReturnVolatility_SingleName
EquitySwap_ParameterReturnVolatility_Index
EquitySwap_ParameterReturnVolatility_Basket
EquitySwap_ParameterReturnCorrelation_Basket
ForeignExchange_ParameterReturnVariance
ForeignExchange_ParameterReturnCorrelation</t>
  </si>
  <si>
    <t>Volatility swap - index: an EquityIndex (assetClass Equity) instead of the FX rate index
FX variance swap: varianceReturnTerms</t>
  </si>
  <si>
    <t>Volatility swap - index (EquitySwap_ParameterReturnVolatility_Index): when an FX rate index given assetClass = Equity - only with data CDM's validation rejects (ForeignExchangeRateIndexFXAssetClass)</t>
  </si>
  <si>
    <t>product-qualification-func.rosetta:1680</t>
  </si>
  <si>
    <t>FX correlation swap</t>
  </si>
  <si>
    <t>ForeignExchange_ParameterReturnCorrelation</t>
  </si>
  <si>
    <t>FX correlation swap on a basket of FX rates.</t>
  </si>
  <si>
    <t>subPayout1 = performancePayout, basket of FX rate indices. Needs a return-type key = Correlation.</t>
  </si>
  <si>
    <t>PerformancePayout with returnTerms = correlationReturnTerms only (the only payout)
Underlier: a basket of FX rate indices</t>
  </si>
  <si>
    <t>the underlier is a Basket whose constituents are all ForeignExchangeRateIndex</t>
  </si>
  <si>
    <t>+ payout.PerformancePayout  the only payout
+ payout.PerformancePayout.returnTerms.correlationReturnTerms  the only return terms
+ payout.PerformancePayout.underlier.Observable.Basket.basketConstituent.Index.ForeignExchangeRateIndex  every constituent an FX rate</t>
  </si>
  <si>
    <t>EquitySwap_ParameterReturnVariance_SingleName
EquitySwap_ParameterReturnVariance_Index
EquitySwap_ParameterReturnVariance_Basket
EquitySwap_ParameterReturnVolatility_SingleName
EquitySwap_ParameterReturnVolatility_Index
EquitySwap_ParameterReturnVolatility_Basket
EquitySwap_ParameterReturnCorrelation_Basket
ForeignExchange_ParameterReturnVariance
ForeignExchange_ParameterReturnVolatility</t>
  </si>
  <si>
    <t>Correlation swap - basket: a basket with an equity constituent</t>
  </si>
  <si>
    <t>Correlation swap - basket (EquitySwap_ParameterReturnCorrelation_Basket): when an FX rate index given assetClass = Equity - only with data CDM's validation rejects (ForeignExchangeRateIndexFXAssetClass)</t>
  </si>
  <si>
    <t>product-qualification-func.rosetta:1699</t>
  </si>
  <si>
    <t>FX vanilla option</t>
  </si>
  <si>
    <t>ForeignExchange_VanillaOption</t>
  </si>
  <si>
    <t>Call or put on a currency pair, physically settled.</t>
  </si>
  <si>
    <t>mainPayout = optionPayout, subPayout1/2 empty, FX leg keys (mainPayoutExchangeCurrency1/2*). No QuotedCurrencyPair. Not Bermuda.</t>
  </si>
  <si>
    <t>OptionPayout (the only payout)
Underlier: a currency</t>
  </si>
  <si>
    <t>FX underlier (Cash, or an FX product); OptionPayout.feature absent or only averagingFeature</t>
  </si>
  <si>
    <t>exercise style Bermuda</t>
  </si>
  <si>
    <t>+ payout.OptionPayout  the only payout
+ payout.OptionPayout.underlier.Observable.Asset.Cash  the currency (or an FX product)
- payout.OptionPayout.exerciseTerms.style  European or American (not Bermuda)
- payout.OptionPayout.feature  absent, or averagingFeature only</t>
  </si>
  <si>
    <t>InterestRate_Option_DebtOption
Credit_Option_NonStandard
EquityOption_PriceReturnBasicPerformance_SingleName
EquityOption_PriceReturnBasicPerformance_Index
EquityOption_PriceReturnBasicPerformance_Basket
Equity_OtherOption
ForeignExchange_NDO
Commodity_Option
Commodity_Option_NonStandard</t>
  </si>
  <si>
    <t>FX NDO (non-deliverable option): European + cashSettlementTerms + a feature other than averaging
Equity option - single name: equity underlier
Commodity option: commodity underlier</t>
  </si>
  <si>
    <t>Correlation option - basket (EquityOption_ParameterReturnCorrelation_Basket): when an option on a basket swap whose basket has an equity constituent and an FX rate - possible on a valid trade
Dividend option - basket (EquityOption_ParameterReturnDividend_Basket): when an option on a basket swap whose basket has an equity constituent and an FX rate - possible on a valid trade
Variance option - basket (EquityOption_ParameterReturnVariance_Basket), in 2 ways:
   - when an option on a basket swap whose basket has an equity constituent and an FX rate, European and cash settled - possible on a valid trade
   - when an option on a basket swap whose basket has an equity constituent and an FX rate - possible on a valid trade
FX NDO (non-deliverable option) (ForeignExchange_NDO), in 2 ways:
   - when an option on a basket swap whose basket has an equity constituent and an FX rate, European and cash settled - possible on a valid trade
   - when European exercise, cash settled (cashSettlementTerms), no option feature or averaging only - possible on a valid trade
Volatility option - basket (EquityOption_ParameterReturnVolatility_Basket): when an option on a basket swap whose basket has an equity constituent and an FX rate - possible on a valid trade</t>
  </si>
  <si>
    <t>product-qualification-func.rosetta:1720</t>
  </si>
  <si>
    <t>Commodity</t>
  </si>
  <si>
    <t>Commodity swap fixed-float</t>
  </si>
  <si>
    <t>Commodity_Swap_FixedFloat</t>
  </si>
  <si>
    <t>commodityPayout</t>
  </si>
  <si>
    <t>Commodity swap: a floating commodity price leg against a fixed price leg.</t>
  </si>
  <si>
    <t>subPayout1 = commodityPayout, subPayout2 = fixedPricePayout. subPayout1CommodityProductIdentifier + Source, PriceQuoteType; subPayout2FixedPrice + Currency.</t>
  </si>
  <si>
    <t>CommodityPayout (floating leg); FixedPricePayout (fixed leg)
Underlier: a commodity (CommodityPayout.underlier; the rule does not check it)</t>
  </si>
  <si>
    <t>2 payouts (1 CommodityPayout + 1 FixedPricePayout), or exactly 2 CommodityPayouts and 2 FixedPricePayouts (then other payouts are not excluded)</t>
  </si>
  <si>
    <t>+ payout.CommodityPayout  the floating leg
+ payout.FixedPricePayout  the fixed leg
- payout  exactly 1 CommodityPayout + 1 FixedPricePayout, or 2 + 2 (then other payouts are not excluded)
- payout.CommodityPayout.underlier  the commodity (not checked by the rule)</t>
  </si>
  <si>
    <t>Commodity swap basis: two CommodityPayouts, no FixedPricePayout
Commodity forward: a SettlementPayout instead of the CommodityPayout</t>
  </si>
  <si>
    <t>Commodity leg; Fixed price leg; Payer / receiver</t>
  </si>
  <si>
    <t>Commodity underlier: CommodityPayout.underlier.Observable.Asset.Commodity with identifier[].identifierType.</t>
  </si>
  <si>
    <t>product-qualification-func.rosetta:1768</t>
  </si>
  <si>
    <t>Commodity swap basis</t>
  </si>
  <si>
    <t>Commodity_Swap_Basis</t>
  </si>
  <si>
    <t>Commodity swap: two floating commodity price legs.</t>
  </si>
  <si>
    <t>subPayout1 = subPayout2 = commodityPayout, each with its own commodity identifier.</t>
  </si>
  <si>
    <t>CommodityPayout; CommodityPayout
Underlier: commodities</t>
  </si>
  <si>
    <t>exactly 2 CommodityPayouts and nothing else</t>
  </si>
  <si>
    <t>+ payout.CommodityPayout  exactly 2, nothing else
- payout.CommodityPayout.underlier  the commodities (not checked)</t>
  </si>
  <si>
    <t>Commodity swap fixed-float: one leg is a FixedPricePayout</t>
  </si>
  <si>
    <t>Commodity leg; Payer / receiver</t>
  </si>
  <si>
    <t>Exactly 2 CommodityPayouts.</t>
  </si>
  <si>
    <t>product-qualification-func.rosetta:1781</t>
  </si>
  <si>
    <t>Commodity option</t>
  </si>
  <si>
    <t>Commodity_Option</t>
  </si>
  <si>
    <t>Call or put on a commodity at a strike price.</t>
  </si>
  <si>
    <t>mainPayout = optionPayout, subPayout1/2 empty, assetClass = Commodity, mainPayoutCommodityProductIdentifier + Source, PriceQuoteType. nonStandardisedTerms not true.</t>
  </si>
  <si>
    <t>OptionPayout (the only payout)
Underlier: a commodity</t>
  </si>
  <si>
    <t>the underlier is a Commodity (Observable.Asset.Commodity or Product.TransferableProduct.Commodity)</t>
  </si>
  <si>
    <t>+ payout.OptionPayout  the only payout
+ payout.OptionPayout.underlier.Observable.Asset.Commodity  the commodity (or Product.TransferableProduct.Commodity)</t>
  </si>
  <si>
    <t>InterestRate_Option_DebtOption
Credit_Option_NonStandard
EquityOption_PriceReturnBasicPerformance_SingleName
EquityOption_PriceReturnBasicPerformance_Index
EquityOption_PriceReturnBasicPerformance_Basket
Equity_OtherOption
ForeignExchange_NDO
ForeignExchange_VanillaOption
Commodity_Option_NonStandard</t>
  </si>
  <si>
    <t>Commodity swaption: underlier is a commodity swap as a NonTransferableProduct
FX vanilla option: underlier is Cash</t>
  </si>
  <si>
    <t>Commodity option - non-standard (Commodity_Option_NonStandard): when nonStandardisedTerms = True (the standard rule does not check it) - possible on a valid trade
Commodity swaption (Commodity_Swaption): when the underlier is a TransferableProduct that is a Commodity asset and whose economicTerms are a commodity swap - possible on a valid trade</t>
  </si>
  <si>
    <t>Option; Shared underlier (commodity)</t>
  </si>
  <si>
    <t>Exercise styles merge into exerciseTerms.style; expirationTimeType is mandatory; strike moves to OptionPayout.strike. Underlier: underlier.Observable.Asset.Commodity. Touch / digital products set strike = 1 today.</t>
  </si>
  <si>
    <t>product-qualification-func.rosetta:1794</t>
  </si>
  <si>
    <t>Commodity swaption</t>
  </si>
  <si>
    <t>Commodity_Swaption</t>
  </si>
  <si>
    <t>Commodity legs are not nested under the option; they land at top level.</t>
  </si>
  <si>
    <t>Option to enter a commodity swap (fixed-float or basis).</t>
  </si>
  <si>
    <t>mainPayout = optionPayout with subPayout1 = commodityPayout and subPayout2 = fixedPricePayout (or commodityPayout for basis).</t>
  </si>
  <si>
    <t>OptionPayout (the only payout)
Underlier: a commodity swap (underlier.Product). Inside it: 1 CommodityPayout + 1 FixedPricePayout (fixed-float), or 2 + 2 (then other payouts are not excluded), or 2 CommodityPayouts only (basis); the inner swap must itself qualify as Commodity_Swap_FixedFloat or Commodity_Swap_Basis</t>
  </si>
  <si>
    <t>the underlier is a Product that qualifies as Commodity_Swap_Basis or Commodity_Swap_FixedFloat</t>
  </si>
  <si>
    <t>+ payout.OptionPayout  the only payout
+ payout.OptionPayout.underlier.Product.NonTransferableProduct.economicTerms.payout.CommodityPayout  the underlying commodity swap (fixed-float or basis)</t>
  </si>
  <si>
    <t>Commodity option: underlier is a commodity (Observable)
Swaption: underlying swap is interest rate</t>
  </si>
  <si>
    <t>Commodity option (Commodity_Option): when the underlier is a TransferableProduct that is a Commodity asset and whose economicTerms are a commodity swap - possible on a valid trade
Commodity option - non-standard (Commodity_Option_NonStandard), in 2 ways:
   - when nonStandardisedTerms = True (the standard rule does not check it) - possible on a valid trade
   - when a non-standard option on a swap of 2 CommodityPayouts + 2 FixedPricePayouts + an equity PerformancePayout - possible on a valid trade
Equity option - other (exotic) (Equity_OtherOption): when a non-standard option on a swap of 2 CommodityPayouts + 2 FixedPricePayouts + an equity PerformancePayout - possible on a valid trade</t>
  </si>
  <si>
    <t>Option; Commodity leg; Fixed price leg</t>
  </si>
  <si>
    <t>Underlying swap sits at OptionPayout.underlier.Product.NonTransferableProduct (was underlier.contractualProduct). Exercise styles merge into exerciseTerms.style; expirationTimeType is mandatory; strike moves to OptionPayout.strike. Inner swap must qualify as Commodity_Swap_FixedFloat or _Basis.</t>
  </si>
  <si>
    <t>product-qualification-func.rosetta:1830</t>
  </si>
  <si>
    <t>Commodity forward</t>
  </si>
  <si>
    <t>Commodity_Forward</t>
  </si>
  <si>
    <t>Combination is rejected by the allowed-combination check; without subPayout2 CDM sees 1 payout.</t>
  </si>
  <si>
    <t>Forward purchase or sale of a commodity at a fixed (or floating) price.</t>
  </si>
  <si>
    <t>mainPayout = forwardPayout with commodity underlier keys, plus subPayout2 = fixedPricePayout (or commodityPayout) as the pricing leg.</t>
  </si>
  <si>
    <t>SettlementPayout (physical leg); FixedPricePayout or CommodityPayout (pricing leg)
Underlier: a commodity</t>
  </si>
  <si>
    <t>exactly 2 payouts; commodity underlier. (The rule's third option, a single SettlementPayout, can never match: the rule also requires 2 payouts.)</t>
  </si>
  <si>
    <t>+ payout.SettlementPayout  the physical leg
+ payout.SettlementPayout.underlier.Observable.Asset.Commodity  the commodity (or a commodity product)
- payout  exactly 2: the SettlementPayout + 1 FixedPricePayout or 1 CommodityPayout</t>
  </si>
  <si>
    <t>Commodity swap fixed-float: a CommodityPayout instead of the SettlementPayout
FX spot / forward: one payout, Cash underlier</t>
  </si>
  <si>
    <t>Forward; Shared underlier (commodity); Fixed price leg</t>
  </si>
  <si>
    <t>ForwardPayout is replaced by SettlementPayout. Needs exactly 2 payouts: SettlementPayout + FixedPricePayout or CommodityPayout.</t>
  </si>
  <si>
    <t>product-qualification-func.rosetta:1847</t>
  </si>
  <si>
    <t>Commodity option - non-standard</t>
  </si>
  <si>
    <t>Commodity_Option_NonStandard</t>
  </si>
  <si>
    <t>Commodity option with non-standard terms (exotic).</t>
  </si>
  <si>
    <t>As commodity option plus nonStandardisedTerms = true.</t>
  </si>
  <si>
    <t>commodity underlier; EconomicTerms.nonStandardisedTerms = True</t>
  </si>
  <si>
    <t>+ payout.OptionPayout  the only payout
+ nonStandardisedTerms  True
+ payout.OptionPayout.underlier  commodity: a commodity observable or a commodity product</t>
  </si>
  <si>
    <t>InterestRate_Option_DebtOption
Credit_Option_NonStandard
EquityOption_PriceReturnBasicPerformance_SingleName
EquityOption_PriceReturnBasicPerformance_Index
EquityOption_PriceReturnBasicPerformance_Basket
Equity_OtherOption
ForeignExchange_NDO
ForeignExchange_VanillaOption
Commodity_Option</t>
  </si>
  <si>
    <t>Equity option - other (exotic): underlier is equity
Credit option - non-standard: underlier is credit</t>
  </si>
  <si>
    <t>Commodity option (Commodity_Option): when nonStandardisedTerms = True (the standard rule does not check it) - possible on a valid trade
Commodity swaption (Commodity_Swaption), in 2 ways:
   - when nonStandardisedTerms = True (the standard rule does not check it) - possible on a valid trade
   - when a non-standard option on a swap of 2 CommodityPayouts + 2 FixedPricePayouts + an equity PerformancePayout - possible on a valid trade
Equity option - other (exotic) (Equity_OtherOption): when a non-standard option on a swap of 2 CommodityPayouts + 2 FixedPricePayouts + an equity PerformancePayout - possible on a valid trade</t>
  </si>
  <si>
    <t>Exercise styles merge into exerciseTerms.style; expirationTimeType is mandatory; strike moves to OptionPayout.strike. New in 6.x (replaces Commodity_OptionOther). The standard rule also matches, giving no qualifier.</t>
  </si>
  <si>
    <t>product-qualification-func.rosetta:1888</t>
  </si>
  <si>
    <t>Securities financing</t>
  </si>
  <si>
    <t>Repo</t>
  </si>
  <si>
    <t>RepurchaseAgreement</t>
  </si>
  <si>
    <t>No input payout type for AssetPayout or collateral positions.</t>
  </si>
  <si>
    <t>Repo: sale of a security with an agreement to buy it back.</t>
  </si>
  <si>
    <t>No input keys today (needs AssetPayout and collateral keys).</t>
  </si>
  <si>
    <t>InterestRatePayout (the only payout: the repo rate)
Underlier: the collateral position (security)</t>
  </si>
  <si>
    <t>EconomicTerms.collateral.collateralPortfolio.collateralPosition.product has an AssetPayout (the security bought and sold back)</t>
  </si>
  <si>
    <t>an AssetPayout with tradeType BuySellBack</t>
  </si>
  <si>
    <t>+ payout.InterestRatePayout  the only payout: the repo rate
+ collateral.collateralPortfolio.collateralPosition.product.TransferableProduct.economicTerms.payout.AssetPayout  the security bought and sold back
- collateral.collateralPortfolio.collateralPosition.product.TransferableProduct.economicTerms.payout.AssetPayout.tradeType  not BuySellBack (absent is fine)</t>
  </si>
  <si>
    <t>BuySellBack
SecurityLending</t>
  </si>
  <si>
    <t>Buy/sell-back: an AssetPayout with tradeType BuySellBack
Securities lending: AssetPayout as the payout, no InterestRatePayout</t>
  </si>
  <si>
    <t>Cap / floor / collar (InterestRate_CapFloor): when a floating repo rate with a cap or floor - possible on a valid trade</t>
  </si>
  <si>
    <t>-</t>
  </si>
  <si>
    <t>New in 6.x (SecuritiesFinance split three ways).</t>
  </si>
  <si>
    <t>product-qualification-func.rosetta:1736</t>
  </si>
  <si>
    <t>Buy/sell-back</t>
  </si>
  <si>
    <t>BuySellBack</t>
  </si>
  <si>
    <t>Buy/sell-back: two outright trades with the repo economics.</t>
  </si>
  <si>
    <t>the collateral position's product has an AssetPayout, at least one with tradeType BuySellBack</t>
  </si>
  <si>
    <t>+ payout.InterestRatePayout  the only payout: the repo rate
+ collateral.collateralPortfolio.collateralPosition.product.TransferableProduct.economicTerms.payout.AssetPayout.tradeType  BuySellBack (on at least one)</t>
  </si>
  <si>
    <t>RepurchaseAgreement
SecurityLending</t>
  </si>
  <si>
    <t>Repo: no AssetPayout with tradeType BuySellBack</t>
  </si>
  <si>
    <t>Cap / floor / collar (InterestRate_CapFloor): when a floating buy/sell-back rate with a cap or floor - possible on a valid trade</t>
  </si>
  <si>
    <t>product-qualification-func.rosetta:1747</t>
  </si>
  <si>
    <t>Securities lending</t>
  </si>
  <si>
    <t>SecurityLending</t>
  </si>
  <si>
    <t>Loan of a security against collateral and a fee.</t>
  </si>
  <si>
    <t>AssetPayout (the only payout: the security lent)
Underlier: the security lent (AssetPayout)</t>
  </si>
  <si>
    <t>EconomicTerms.collateral.collateralPortfolio.collateralPosition.product is a TransferableProduct (the collateral)</t>
  </si>
  <si>
    <t>+ payout.AssetPayout  the only payout: the security lent
+ collateral.collateralPortfolio.collateralPosition.product.TransferableProduct  the collateral</t>
  </si>
  <si>
    <t>RepurchaseAgreement
BuySellBack</t>
  </si>
  <si>
    <t>Repo: InterestRatePayout as the payout</t>
  </si>
  <si>
    <t>product-qualification-func.rosetta:1758</t>
  </si>
  <si>
    <t>Input Payout Key Combinations</t>
  </si>
  <si>
    <t>Each combination of the three keys and the CDM products it can carry. Allowed = accepted by productPreprocessor.yaml (payoutCombinations).</t>
  </si>
  <si>
    <t>Allowed today</t>
  </si>
  <si>
    <t>CDM products</t>
  </si>
  <si>
    <t>CDM productQualifiers</t>
  </si>
  <si>
    <t>How the input keys tell them apart</t>
  </si>
  <si>
    <t>Yes</t>
  </si>
  <si>
    <t>InterestRate_IRSwap_FixedFloat
InterestRate_IRSwap_FixedFixed
InterestRate_IRSwap_Basis
InterestRate_IRSwap_FixedFloat_ZeroCoupon
InterestRate_IRSwap_FixedFloat_OIS
InterestRate_IRSwap_Basis_OIS
InterestRate_CrossCurrency_FixedFloat
InterestRate_CrossCurrency_Basis
InterestRate_CrossCurrency_FixedFixed
InterestRate_InflationSwap_FixedFloat_YearOn_Year
InterestRate_InflationSwap_FixedFloat_ZeroCoupon
InterestRate_InflationSwap_Basis_YearOn_Year
InterestRate_InflationSwap_Basis_ZeroCoupon
InterestRate_Fra</t>
  </si>
  <si>
    <t>Rate keys per leg (FixedRate / FloatingRateName / InflationRateName), same or different NotionalCurrency, OIS index or not, PaymentDates vs PaymentDateUnadjusted, frequency (T, 1Y) and dates (zero coupon).</t>
  </si>
  <si>
    <t>Unique: the combination decides the product.</t>
  </si>
  <si>
    <t>InterestRate_Option_DebtOption
Credit_Option_NonStandard
EquityOption_PriceReturnBasicPerformance_SingleName
EquityOption_PriceReturnBasicPerformance_Index
EquityOption_PriceReturnBasicPerformance_Basket
Equity_OtherOption
ForeignExchange_NDO
ForeignExchange_VanillaOption
Commodity_Option
Commodity_Option_NonStandard</t>
  </si>
  <si>
    <t>assetClass and the underlier keys: mainPayoutSecurity* (equity or debt), mainPayoutExchangeCurrency* (FX; QuotedCurrencyPair + Cash = NDO), mainPayoutCommodity* (commodity); nonStandardisedTerms for exotics.</t>
  </si>
  <si>
    <t>InterestRate_Forward_Debt
EquityForward_PriceReturnBasicPerformance_SingleName
EquityForward_PriceReturnBasicPerformance_SingleIndex
EquityForward_PriceReturnBasicPerformance_Basket
Equity_OtherForward
ForeignExchange_Spot_Forward
ForeignExchange_Swap
ForeignExchange_NDF
ForeignExchange_NDS</t>
  </si>
  <si>
    <t>Underlier keys: Security (equity / debt), ExchangeCurrency (FX; QuotedCurrencyPair + Cash = NDF), Commodity; nonStandardisedTerms for exotics.</t>
  </si>
  <si>
    <t>CreditDefaultSwap_SingleName
CreditDefaultSwap_Index
CreditDefaultSwap_IndexTranche
CreditDefaultSwap_Loan
CreditDefaultSwap_Basket</t>
  </si>
  <si>
    <t>subPayout1 reference keys: ReferenceEntityName (single name), LoanProductIdentifier (loan), IndexReferenceInformation* (index; + Tranche points = tranche), BasketReferenceInformation* (basket).</t>
  </si>
  <si>
    <t>TotalReturnSwap_Index
EquitySwap_PriceReturnBasicPerformance_SingleName
EquitySwap_TotalReturnBasicPerformance_SingleName
EquitySwap_PriceReturnBasicPerformance_Index
EquitySwap_TotalReturnBasicPerformance_Index
EquitySwap_PriceReturnBasicPerformance_Basket
EquitySwap_TotalReturnBasicPerformance_Basket
Equity_Swap_NonStandard</t>
  </si>
  <si>
    <t>Underlier (credit index = TRS index; equity = equity swap), nonStandardisedTerms, and a return type (price / total), for which no input key exists.</t>
  </si>
  <si>
    <t>EquitySwap_ParameterReturnVariance_SingleName
EquitySwap_ParameterReturnVariance_Index
EquitySwap_ParameterReturnVariance_Basket
EquitySwap_ParameterReturnVolatility_SingleName
EquitySwap_ParameterReturnVolatility_Index
EquitySwap_ParameterReturnVolatility_Basket
EquitySwap_ParameterReturnCorrelation_Basket
ForeignExchange_ParameterReturnVariance
ForeignExchange_ParameterReturnVolatility
ForeignExchange_ParameterReturnCorrelation</t>
  </si>
  <si>
    <t>Underlier (equity single name / index / basket, or FX rate) and a return type (variance / volatility / correlation), for which no input key exists.</t>
  </si>
  <si>
    <t>No</t>
  </si>
  <si>
    <t>EquitySwap_ParameterReturnDividend_SingleName
EquitySwap_ParameterReturnDividend_Index
EquitySwap_ParameterReturnDividend_Basket</t>
  </si>
  <si>
    <t>Underlier: single name, index or basket.</t>
  </si>
  <si>
    <t>EquityOption_ParameterReturnVariance_SingleName
EquityOption_ParameterReturnVariance_Index
EquityOption_ParameterReturnVariance_Basket
EquityOption_ParameterReturnVolatility_SingleName
EquityOption_ParameterReturnVolatility_Index
EquityOption_ParameterReturnVolatility_Basket
EquityOption_ParameterReturnCorrelation_Basket</t>
  </si>
  <si>
    <t>EquityOption_ParameterReturnDividend_SingleName
EquityOption_ParameterReturnDividend_Index
EquityOption_ParameterReturnDividend_Basket</t>
  </si>
  <si>
    <t>Needed for a commodity forward, but rejected by the allowed-combination check.</t>
  </si>
  <si>
    <t>RepurchaseAgreement
BuySellBack
SecurityLending</t>
  </si>
  <si>
    <t>No payout keys: securities financing products have no input payout type today.</t>
  </si>
  <si>
    <t>Commodity_Swaption (basis underlying)</t>
  </si>
  <si>
    <t>Commodity_Swaption with a basis underlying swap. Listed once on Products, under (optionPayout, commodityPayout, fixedPricePayout).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</si>
</sst>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E8EEF7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5">
    <dxf>
      <font>
        <b/>
        <color rgb="FFC00000"/>
        <name val="Arial"/>
      </font>
    </dxf>
    <dxf>
      <font>
        <b/>
        <color rgb="FF404040"/>
        <name val="Arial"/>
      </font>
      <fill>
        <patternFill patternType="solid">
          <fgColor rgb="FFEDEDED"/>
          <bgColor rgb="FFEDEDED"/>
        </patternFill>
      </fill>
    </dxf>
    <dxf>
      <font>
        <b/>
        <color rgb="FF7F6000"/>
        <name val="Arial"/>
      </font>
      <fill>
        <patternFill patternType="solid">
          <fgColor rgb="FFFFF2CC"/>
          <bgColor rgb="FFFFF2CC"/>
        </patternFill>
      </fill>
    </dxf>
    <dxf>
      <font>
        <b/>
        <color rgb="FF833C0B"/>
        <name val="Arial"/>
      </font>
      <fill>
        <patternFill patternType="solid">
          <fgColor rgb="FFFCE4D6"/>
          <bgColor rgb="FFFCE4D6"/>
        </patternFill>
      </fill>
    </dxf>
    <dxf>
      <font>
        <b/>
        <color rgb="FF375623"/>
        <name val="Arial"/>
      </font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regulatory_reporting_2.0\CDM_Analysis\CDM_6.29.0_Product_Keys.xlsx" TargetMode="External"/><Relationship Id="rId1" Type="http://schemas.openxmlformats.org/officeDocument/2006/relationships/externalLinkPath" Target="file:///D:\Projects\regulatory_reporting_2.0\CDM_Analysis\CDM_6.29.0_Product_Ke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Products"/>
      <sheetName val="Key Combinations"/>
      <sheetName val="Input Checks"/>
      <sheetName val="Gaps"/>
    </sheetNames>
    <sheetDataSet>
      <sheetData sheetId="0"/>
      <sheetData sheetId="1">
        <row r="5">
          <cell r="E5" t="str">
            <v>(empty)</v>
          </cell>
          <cell r="F5" t="str">
            <v>interestRatePayout</v>
          </cell>
          <cell r="G5" t="str">
            <v>interestRatePayout</v>
          </cell>
        </row>
        <row r="6">
          <cell r="E6" t="str">
            <v>(empty)</v>
          </cell>
          <cell r="F6" t="str">
            <v>interestRatePayout</v>
          </cell>
          <cell r="G6" t="str">
            <v>interestRatePayout</v>
          </cell>
        </row>
        <row r="7">
          <cell r="E7" t="str">
            <v>(empty)</v>
          </cell>
          <cell r="F7" t="str">
            <v>interestRatePayout</v>
          </cell>
          <cell r="G7" t="str">
            <v>interestRatePayout</v>
          </cell>
        </row>
        <row r="8">
          <cell r="E8" t="str">
            <v>(empty)</v>
          </cell>
          <cell r="F8" t="str">
            <v>interestRatePayout</v>
          </cell>
          <cell r="G8" t="str">
            <v>interestRatePayout</v>
          </cell>
        </row>
        <row r="9">
          <cell r="E9" t="str">
            <v>(empty)</v>
          </cell>
          <cell r="F9" t="str">
            <v>interestRatePayout</v>
          </cell>
          <cell r="G9" t="str">
            <v>interestRatePayout</v>
          </cell>
        </row>
        <row r="10">
          <cell r="E10" t="str">
            <v>(empty)</v>
          </cell>
          <cell r="F10" t="str">
            <v>interestRatePayout</v>
          </cell>
          <cell r="G10" t="str">
            <v>interestRatePayout</v>
          </cell>
        </row>
        <row r="11">
          <cell r="E11" t="str">
            <v>(empty)</v>
          </cell>
          <cell r="F11" t="str">
            <v>interestRatePayout</v>
          </cell>
          <cell r="G11" t="str">
            <v>interestRatePayout</v>
          </cell>
        </row>
        <row r="12">
          <cell r="E12" t="str">
            <v>(empty)</v>
          </cell>
          <cell r="F12" t="str">
            <v>interestRatePayout</v>
          </cell>
          <cell r="G12" t="str">
            <v>interestRatePayout</v>
          </cell>
        </row>
        <row r="13">
          <cell r="E13" t="str">
            <v>(empty)</v>
          </cell>
          <cell r="F13" t="str">
            <v>interestRatePayout</v>
          </cell>
          <cell r="G13" t="str">
            <v>interestRatePayout</v>
          </cell>
        </row>
        <row r="14">
          <cell r="E14" t="str">
            <v>(empty)</v>
          </cell>
          <cell r="F14" t="str">
            <v>interestRatePayout</v>
          </cell>
          <cell r="G14" t="str">
            <v>interestRatePayout</v>
          </cell>
        </row>
        <row r="15">
          <cell r="E15" t="str">
            <v>(empty)</v>
          </cell>
          <cell r="F15" t="str">
            <v>interestRatePayout</v>
          </cell>
          <cell r="G15" t="str">
            <v>interestRatePayout</v>
          </cell>
        </row>
        <row r="16">
          <cell r="E16" t="str">
            <v>(empty)</v>
          </cell>
          <cell r="F16" t="str">
            <v>interestRatePayout</v>
          </cell>
          <cell r="G16" t="str">
            <v>interestRatePayout</v>
          </cell>
        </row>
        <row r="17">
          <cell r="E17" t="str">
            <v>(empty)</v>
          </cell>
          <cell r="F17" t="str">
            <v>interestRatePayout</v>
          </cell>
          <cell r="G17" t="str">
            <v>interestRatePayout</v>
          </cell>
        </row>
        <row r="18">
          <cell r="E18" t="str">
            <v>(empty)</v>
          </cell>
          <cell r="F18" t="str">
            <v>interestRatePayout</v>
          </cell>
          <cell r="G18" t="str">
            <v>interestRatePayout</v>
          </cell>
        </row>
        <row r="19">
          <cell r="E19" t="str">
            <v>(empty)</v>
          </cell>
          <cell r="F19" t="str">
            <v>interestRatePayout</v>
          </cell>
          <cell r="G19" t="str">
            <v>(empty)</v>
          </cell>
        </row>
        <row r="20">
          <cell r="E20" t="str">
            <v>optionPayout</v>
          </cell>
          <cell r="F20" t="str">
            <v>interestRatePayout</v>
          </cell>
          <cell r="G20" t="str">
            <v>interestRatePayout</v>
          </cell>
        </row>
        <row r="21">
          <cell r="E21" t="str">
            <v>optionPayout</v>
          </cell>
          <cell r="F21" t="str">
            <v>(empty)</v>
          </cell>
          <cell r="G21" t="str">
            <v>(empty)</v>
          </cell>
        </row>
        <row r="22">
          <cell r="E22" t="str">
            <v>forwardPayout</v>
          </cell>
          <cell r="F22" t="str">
            <v>(empty)</v>
          </cell>
          <cell r="G22" t="str">
            <v>(empty)</v>
          </cell>
        </row>
        <row r="23">
          <cell r="E23" t="str">
            <v>(empty)</v>
          </cell>
          <cell r="F23" t="str">
            <v>creditDefaultPayout</v>
          </cell>
          <cell r="G23" t="str">
            <v>interestRatePayout</v>
          </cell>
        </row>
        <row r="24">
          <cell r="E24" t="str">
            <v>(empty)</v>
          </cell>
          <cell r="F24" t="str">
            <v>creditDefaultPayout</v>
          </cell>
          <cell r="G24" t="str">
            <v>interestRatePayout</v>
          </cell>
        </row>
        <row r="25">
          <cell r="E25" t="str">
            <v>(empty)</v>
          </cell>
          <cell r="F25" t="str">
            <v>creditDefaultPayout</v>
          </cell>
          <cell r="G25" t="str">
            <v>interestRatePayout</v>
          </cell>
        </row>
        <row r="26">
          <cell r="E26" t="str">
            <v>(empty)</v>
          </cell>
          <cell r="F26" t="str">
            <v>creditDefaultPayout</v>
          </cell>
          <cell r="G26" t="str">
            <v>interestRatePayout</v>
          </cell>
        </row>
        <row r="27">
          <cell r="E27" t="str">
            <v>(empty)</v>
          </cell>
          <cell r="F27" t="str">
            <v>creditDefaultPayout</v>
          </cell>
          <cell r="G27" t="str">
            <v>interestRatePayout</v>
          </cell>
        </row>
        <row r="28">
          <cell r="E28" t="str">
            <v>optionPayout</v>
          </cell>
          <cell r="F28" t="str">
            <v>creditDefaultPayout</v>
          </cell>
          <cell r="G28" t="str">
            <v>interestRatePayout</v>
          </cell>
        </row>
        <row r="29">
          <cell r="E29" t="str">
            <v>(empty)</v>
          </cell>
          <cell r="F29" t="str">
            <v>performancePayout</v>
          </cell>
          <cell r="G29" t="str">
            <v>interestRatePayout</v>
          </cell>
        </row>
        <row r="30">
          <cell r="E30" t="str">
            <v>optionPayout</v>
          </cell>
          <cell r="F30" t="str">
            <v>(empty)</v>
          </cell>
          <cell r="G30" t="str">
            <v>(empty)</v>
          </cell>
        </row>
        <row r="31">
          <cell r="E31" t="str">
            <v>(empty)</v>
          </cell>
          <cell r="F31" t="str">
            <v>performancePayout</v>
          </cell>
          <cell r="G31" t="str">
            <v>interestRatePayout</v>
          </cell>
        </row>
        <row r="32">
          <cell r="E32" t="str">
            <v>(empty)</v>
          </cell>
          <cell r="F32" t="str">
            <v>performancePayout</v>
          </cell>
          <cell r="G32" t="str">
            <v>interestRatePayout</v>
          </cell>
        </row>
        <row r="33">
          <cell r="E33" t="str">
            <v>(empty)</v>
          </cell>
          <cell r="F33" t="str">
            <v>performancePayout</v>
          </cell>
          <cell r="G33" t="str">
            <v>interestRatePayout</v>
          </cell>
        </row>
        <row r="34">
          <cell r="E34" t="str">
            <v>(empty)</v>
          </cell>
          <cell r="F34" t="str">
            <v>performancePayout</v>
          </cell>
          <cell r="G34" t="str">
            <v>interestRatePayout</v>
          </cell>
        </row>
        <row r="35">
          <cell r="E35" t="str">
            <v>(empty)</v>
          </cell>
          <cell r="F35" t="str">
            <v>performancePayout</v>
          </cell>
          <cell r="G35" t="str">
            <v>interestRatePayout</v>
          </cell>
        </row>
        <row r="36">
          <cell r="E36" t="str">
            <v>(empty)</v>
          </cell>
          <cell r="F36" t="str">
            <v>performancePayout</v>
          </cell>
          <cell r="G36" t="str">
            <v>interestRatePayout</v>
          </cell>
        </row>
        <row r="37">
          <cell r="E37" t="str">
            <v>(empty)</v>
          </cell>
          <cell r="F37" t="str">
            <v>performancePayout</v>
          </cell>
          <cell r="G37" t="str">
            <v>(empty)</v>
          </cell>
        </row>
        <row r="38">
          <cell r="E38" t="str">
            <v>(empty)</v>
          </cell>
          <cell r="F38" t="str">
            <v>performancePayout</v>
          </cell>
          <cell r="G38" t="str">
            <v>(empty)</v>
          </cell>
        </row>
        <row r="39">
          <cell r="E39" t="str">
            <v>(empty)</v>
          </cell>
          <cell r="F39" t="str">
            <v>performancePayout</v>
          </cell>
          <cell r="G39" t="str">
            <v>(empty)</v>
          </cell>
        </row>
        <row r="40">
          <cell r="E40" t="str">
            <v>(empty)</v>
          </cell>
          <cell r="F40" t="str">
            <v>performancePayout</v>
          </cell>
          <cell r="G40" t="str">
            <v>performancePayout</v>
          </cell>
        </row>
        <row r="41">
          <cell r="E41" t="str">
            <v>(empty)</v>
          </cell>
          <cell r="F41" t="str">
            <v>performancePayout</v>
          </cell>
          <cell r="G41" t="str">
            <v>(empty)</v>
          </cell>
        </row>
        <row r="42">
          <cell r="E42" t="str">
            <v>(empty)</v>
          </cell>
          <cell r="F42" t="str">
            <v>performancePayout</v>
          </cell>
          <cell r="G42" t="str">
            <v>(empty)</v>
          </cell>
        </row>
        <row r="43">
          <cell r="E43" t="str">
            <v>(empty)</v>
          </cell>
          <cell r="F43" t="str">
            <v>performancePayout</v>
          </cell>
          <cell r="G43" t="str">
            <v>(empty)</v>
          </cell>
        </row>
        <row r="44">
          <cell r="E44" t="str">
            <v>(empty)</v>
          </cell>
          <cell r="F44" t="str">
            <v>performancePayout</v>
          </cell>
          <cell r="G44" t="str">
            <v>(empty)</v>
          </cell>
        </row>
        <row r="45">
          <cell r="E45" t="str">
            <v>(empty)</v>
          </cell>
          <cell r="F45" t="str">
            <v>performancePayout</v>
          </cell>
          <cell r="G45" t="str">
            <v>fixedPricePayout</v>
          </cell>
        </row>
        <row r="46">
          <cell r="E46" t="str">
            <v>(empty)</v>
          </cell>
          <cell r="F46" t="str">
            <v>performancePayout</v>
          </cell>
          <cell r="G46" t="str">
            <v>fixedPricePayout</v>
          </cell>
        </row>
        <row r="47">
          <cell r="E47" t="str">
            <v>(empty)</v>
          </cell>
          <cell r="F47" t="str">
            <v>performancePayout</v>
          </cell>
          <cell r="G47" t="str">
            <v>fixedPricePayout</v>
          </cell>
        </row>
        <row r="48">
          <cell r="E48" t="str">
            <v>(empty)</v>
          </cell>
          <cell r="F48" t="str">
            <v>performancePayout</v>
          </cell>
          <cell r="G48" t="str">
            <v>interestRatePayout</v>
          </cell>
        </row>
        <row r="49">
          <cell r="E49" t="str">
            <v>forwardPayout</v>
          </cell>
          <cell r="F49" t="str">
            <v>(empty)</v>
          </cell>
          <cell r="G49" t="str">
            <v>(empty)</v>
          </cell>
        </row>
        <row r="50">
          <cell r="E50" t="str">
            <v>forwardPayout</v>
          </cell>
          <cell r="F50" t="str">
            <v>(empty)</v>
          </cell>
          <cell r="G50" t="str">
            <v>(empty)</v>
          </cell>
        </row>
        <row r="51">
          <cell r="E51" t="str">
            <v>forwardPayout</v>
          </cell>
          <cell r="F51" t="str">
            <v>(empty)</v>
          </cell>
          <cell r="G51" t="str">
            <v>(empty)</v>
          </cell>
        </row>
        <row r="52">
          <cell r="E52" t="str">
            <v>forwardPayout</v>
          </cell>
          <cell r="F52" t="str">
            <v>(empty)</v>
          </cell>
          <cell r="G52" t="str">
            <v>(empty)</v>
          </cell>
        </row>
        <row r="53">
          <cell r="E53" t="str">
            <v>optionPayout</v>
          </cell>
          <cell r="F53" t="str">
            <v>(empty)</v>
          </cell>
          <cell r="G53" t="str">
            <v>(empty)</v>
          </cell>
        </row>
        <row r="54">
          <cell r="E54" t="str">
            <v>optionPayout</v>
          </cell>
          <cell r="F54" t="str">
            <v>(empty)</v>
          </cell>
          <cell r="G54" t="str">
            <v>(empty)</v>
          </cell>
        </row>
        <row r="55">
          <cell r="E55" t="str">
            <v>optionPayout</v>
          </cell>
          <cell r="F55" t="str">
            <v>(empty)</v>
          </cell>
          <cell r="G55" t="str">
            <v>(empty)</v>
          </cell>
        </row>
        <row r="56">
          <cell r="E56" t="str">
            <v>optionPayout</v>
          </cell>
          <cell r="F56" t="str">
            <v>performancePayout</v>
          </cell>
          <cell r="G56" t="str">
            <v>(empty)</v>
          </cell>
        </row>
        <row r="57">
          <cell r="E57" t="str">
            <v>optionPayout</v>
          </cell>
          <cell r="F57" t="str">
            <v>performancePayout</v>
          </cell>
          <cell r="G57" t="str">
            <v>(empty)</v>
          </cell>
        </row>
        <row r="58">
          <cell r="E58" t="str">
            <v>optionPayout</v>
          </cell>
          <cell r="F58" t="str">
            <v>performancePayout</v>
          </cell>
          <cell r="G58" t="str">
            <v>(empty)</v>
          </cell>
        </row>
        <row r="59">
          <cell r="E59" t="str">
            <v>optionPayout</v>
          </cell>
          <cell r="F59" t="str">
            <v>performancePayout</v>
          </cell>
          <cell r="G59" t="str">
            <v>(empty)</v>
          </cell>
        </row>
        <row r="60">
          <cell r="E60" t="str">
            <v>optionPayout</v>
          </cell>
          <cell r="F60" t="str">
            <v>performancePayout</v>
          </cell>
          <cell r="G60" t="str">
            <v>(empty)</v>
          </cell>
        </row>
        <row r="61">
          <cell r="E61" t="str">
            <v>optionPayout</v>
          </cell>
          <cell r="F61" t="str">
            <v>performancePayout</v>
          </cell>
          <cell r="G61" t="str">
            <v>(empty)</v>
          </cell>
        </row>
        <row r="62">
          <cell r="E62" t="str">
            <v>optionPayout</v>
          </cell>
          <cell r="F62" t="str">
            <v>performancePayout</v>
          </cell>
          <cell r="G62" t="str">
            <v>(empty)</v>
          </cell>
        </row>
        <row r="63">
          <cell r="E63" t="str">
            <v>optionPayout</v>
          </cell>
          <cell r="F63" t="str">
            <v>performancePayout</v>
          </cell>
          <cell r="G63" t="str">
            <v>fixedPricePayout</v>
          </cell>
        </row>
        <row r="64">
          <cell r="E64" t="str">
            <v>optionPayout</v>
          </cell>
          <cell r="F64" t="str">
            <v>performancePayout</v>
          </cell>
          <cell r="G64" t="str">
            <v>fixedPricePayout</v>
          </cell>
        </row>
        <row r="65">
          <cell r="E65" t="str">
            <v>optionPayout</v>
          </cell>
          <cell r="F65" t="str">
            <v>performancePayout</v>
          </cell>
          <cell r="G65" t="str">
            <v>fixedPricePayout</v>
          </cell>
        </row>
        <row r="66">
          <cell r="E66" t="str">
            <v>optionPayout</v>
          </cell>
          <cell r="F66" t="str">
            <v>(empty)</v>
          </cell>
          <cell r="G66" t="str">
            <v>(empty)</v>
          </cell>
        </row>
        <row r="67">
          <cell r="E67" t="str">
            <v>forwardPayout</v>
          </cell>
          <cell r="F67" t="str">
            <v>(empty)</v>
          </cell>
          <cell r="G67" t="str">
            <v>(empty)</v>
          </cell>
        </row>
        <row r="68">
          <cell r="E68" t="str">
            <v>forwardPayout</v>
          </cell>
          <cell r="F68" t="str">
            <v>(empty)</v>
          </cell>
          <cell r="G68" t="str">
            <v>(empty)</v>
          </cell>
        </row>
        <row r="69">
          <cell r="E69" t="str">
            <v>forwardPayout</v>
          </cell>
          <cell r="F69" t="str">
            <v>(empty)</v>
          </cell>
          <cell r="G69" t="str">
            <v>(empty)</v>
          </cell>
        </row>
        <row r="70">
          <cell r="E70" t="str">
            <v>forwardPayout</v>
          </cell>
          <cell r="F70" t="str">
            <v>(empty)</v>
          </cell>
          <cell r="G70" t="str">
            <v>(empty)</v>
          </cell>
        </row>
        <row r="71">
          <cell r="E71" t="str">
            <v>optionPayout</v>
          </cell>
          <cell r="F71" t="str">
            <v>(empty)</v>
          </cell>
          <cell r="G71" t="str">
            <v>(empty)</v>
          </cell>
        </row>
        <row r="72">
          <cell r="E72" t="str">
            <v>(empty)</v>
          </cell>
          <cell r="F72" t="str">
            <v>performancePayout</v>
          </cell>
          <cell r="G72" t="str">
            <v>(empty)</v>
          </cell>
        </row>
        <row r="73">
          <cell r="E73" t="str">
            <v>(empty)</v>
          </cell>
          <cell r="F73" t="str">
            <v>performancePayout</v>
          </cell>
          <cell r="G73" t="str">
            <v>(empty)</v>
          </cell>
        </row>
        <row r="74">
          <cell r="E74" t="str">
            <v>(empty)</v>
          </cell>
          <cell r="F74" t="str">
            <v>performancePayout</v>
          </cell>
          <cell r="G74" t="str">
            <v>(empty)</v>
          </cell>
        </row>
        <row r="75">
          <cell r="E75" t="str">
            <v>optionPayout</v>
          </cell>
          <cell r="F75" t="str">
            <v>(empty)</v>
          </cell>
          <cell r="G75" t="str">
            <v>(empty)</v>
          </cell>
        </row>
        <row r="76">
          <cell r="E76" t="str">
            <v>(empty)</v>
          </cell>
          <cell r="F76" t="str">
            <v>commodityPayout</v>
          </cell>
          <cell r="G76" t="str">
            <v>fixedPricePayout</v>
          </cell>
        </row>
        <row r="77">
          <cell r="E77" t="str">
            <v>(empty)</v>
          </cell>
          <cell r="F77" t="str">
            <v>commodityPayout</v>
          </cell>
          <cell r="G77" t="str">
            <v>commodityPayout</v>
          </cell>
        </row>
        <row r="78">
          <cell r="E78" t="str">
            <v>optionPayout</v>
          </cell>
          <cell r="F78" t="str">
            <v>(empty)</v>
          </cell>
          <cell r="G78" t="str">
            <v>(empty)</v>
          </cell>
        </row>
        <row r="79">
          <cell r="E79" t="str">
            <v>optionPayout</v>
          </cell>
          <cell r="F79" t="str">
            <v>commodityPayout</v>
          </cell>
          <cell r="G79" t="str">
            <v>fixedPricePayout</v>
          </cell>
        </row>
        <row r="80">
          <cell r="E80" t="str">
            <v>forwardPayout</v>
          </cell>
          <cell r="F80" t="str">
            <v>(empty)</v>
          </cell>
          <cell r="G80" t="str">
            <v>fixedPricePayout</v>
          </cell>
        </row>
        <row r="81">
          <cell r="E81" t="str">
            <v>optionPayout</v>
          </cell>
          <cell r="F81" t="str">
            <v>(empty)</v>
          </cell>
          <cell r="G81" t="str">
            <v>(empty)</v>
          </cell>
        </row>
        <row r="82">
          <cell r="E82" t="str">
            <v>(empty)</v>
          </cell>
          <cell r="F82" t="str">
            <v>(empty)</v>
          </cell>
          <cell r="G82" t="str">
            <v>(empty)</v>
          </cell>
        </row>
        <row r="83">
          <cell r="E83" t="str">
            <v>(empty)</v>
          </cell>
          <cell r="F83" t="str">
            <v>(empty)</v>
          </cell>
          <cell r="G83" t="str">
            <v>(empty)</v>
          </cell>
        </row>
        <row r="84">
          <cell r="E84" t="str">
            <v>(empty)</v>
          </cell>
          <cell r="F84" t="str">
            <v>(empty)</v>
          </cell>
          <cell r="G84" t="str">
            <v>(empty)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7BA4-59F6-4D34-B612-354258CE4292}">
  <dimension ref="A1:U84"/>
  <sheetViews>
    <sheetView tabSelected="1" workbookViewId="0">
      <selection activeCell="A5" sqref="A5"/>
    </sheetView>
  </sheetViews>
  <sheetFormatPr defaultRowHeight="14.4" x14ac:dyDescent="0.3"/>
  <cols>
    <col min="1" max="1" width="5" style="2" customWidth="1"/>
    <col min="2" max="2" width="13" style="2" customWidth="1"/>
    <col min="3" max="3" width="24" style="2" customWidth="1"/>
    <col min="4" max="4" width="34" style="2" customWidth="1"/>
    <col min="5" max="5" width="15" style="2" customWidth="1"/>
    <col min="6" max="7" width="17" style="2" customWidth="1"/>
    <col min="8" max="8" width="15" style="2" customWidth="1"/>
    <col min="9" max="9" width="28" style="2" customWidth="1"/>
    <col min="10" max="10" width="36" style="2" customWidth="1"/>
    <col min="11" max="11" width="48" style="2" customWidth="1"/>
    <col min="12" max="13" width="40" style="2" customWidth="1"/>
    <col min="14" max="14" width="32" style="2" customWidth="1"/>
    <col min="15" max="15" width="52" style="2" customWidth="1"/>
    <col min="16" max="16" width="32" style="2" customWidth="1"/>
    <col min="17" max="17" width="38" style="2" customWidth="1"/>
    <col min="18" max="18" width="42" style="2" customWidth="1"/>
    <col min="19" max="19" width="26" style="2" customWidth="1"/>
    <col min="20" max="20" width="42" style="2" customWidth="1"/>
    <col min="21" max="21" width="26" style="2" customWidth="1"/>
    <col min="22" max="16384" width="8.88671875" style="2"/>
  </cols>
  <sheetData>
    <row r="1" spans="1:21" ht="24" customHeight="1" x14ac:dyDescent="0.3">
      <c r="A1" s="1" t="s">
        <v>0</v>
      </c>
    </row>
    <row r="2" spans="1:21" x14ac:dyDescent="0.3">
      <c r="A2" s="3" t="s">
        <v>1</v>
      </c>
    </row>
    <row r="4" spans="1:21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</row>
    <row r="5" spans="1:21" x14ac:dyDescent="0.3">
      <c r="A5" s="6">
        <v>1</v>
      </c>
      <c r="B5" s="7" t="s">
        <v>23</v>
      </c>
      <c r="C5" s="7" t="s">
        <v>24</v>
      </c>
      <c r="D5" s="7" t="s">
        <v>25</v>
      </c>
      <c r="E5" s="8" t="s">
        <v>26</v>
      </c>
      <c r="F5" s="8" t="s">
        <v>27</v>
      </c>
      <c r="G5" s="8" t="s">
        <v>27</v>
      </c>
      <c r="H5" s="7" t="s">
        <v>28</v>
      </c>
      <c r="I5" s="7"/>
      <c r="J5" s="7" t="s">
        <v>29</v>
      </c>
      <c r="K5" s="7" t="s">
        <v>30</v>
      </c>
      <c r="L5" s="7" t="s">
        <v>31</v>
      </c>
      <c r="M5" s="7" t="s">
        <v>32</v>
      </c>
      <c r="N5" s="7" t="s">
        <v>33</v>
      </c>
      <c r="O5" s="7" t="s">
        <v>34</v>
      </c>
      <c r="P5" s="7" t="s">
        <v>35</v>
      </c>
      <c r="Q5" s="7" t="s">
        <v>36</v>
      </c>
      <c r="R5" s="7" t="s">
        <v>37</v>
      </c>
      <c r="S5" s="7" t="s">
        <v>38</v>
      </c>
      <c r="T5" s="7" t="s">
        <v>39</v>
      </c>
      <c r="U5" s="7" t="s">
        <v>40</v>
      </c>
    </row>
    <row r="6" spans="1:21" x14ac:dyDescent="0.3">
      <c r="A6" s="9">
        <v>2</v>
      </c>
      <c r="B6" s="10" t="s">
        <v>23</v>
      </c>
      <c r="C6" s="10" t="s">
        <v>41</v>
      </c>
      <c r="D6" s="10" t="s">
        <v>42</v>
      </c>
      <c r="E6" s="8" t="s">
        <v>26</v>
      </c>
      <c r="F6" s="8" t="s">
        <v>27</v>
      </c>
      <c r="G6" s="8" t="s">
        <v>27</v>
      </c>
      <c r="H6" s="10" t="s">
        <v>28</v>
      </c>
      <c r="I6" s="10"/>
      <c r="J6" s="10" t="s">
        <v>43</v>
      </c>
      <c r="K6" s="10" t="s">
        <v>44</v>
      </c>
      <c r="L6" s="10" t="s">
        <v>45</v>
      </c>
      <c r="M6" s="10" t="s">
        <v>46</v>
      </c>
      <c r="N6" s="10" t="s">
        <v>47</v>
      </c>
      <c r="O6" s="10" t="s">
        <v>48</v>
      </c>
      <c r="P6" s="10" t="s">
        <v>49</v>
      </c>
      <c r="Q6" s="10" t="s">
        <v>50</v>
      </c>
      <c r="R6" s="10" t="s">
        <v>51</v>
      </c>
      <c r="S6" s="10" t="s">
        <v>38</v>
      </c>
      <c r="T6" s="10" t="s">
        <v>52</v>
      </c>
      <c r="U6" s="10" t="s">
        <v>53</v>
      </c>
    </row>
    <row r="7" spans="1:21" x14ac:dyDescent="0.3">
      <c r="A7" s="6">
        <v>3</v>
      </c>
      <c r="B7" s="7" t="s">
        <v>23</v>
      </c>
      <c r="C7" s="7" t="s">
        <v>54</v>
      </c>
      <c r="D7" s="7" t="s">
        <v>55</v>
      </c>
      <c r="E7" s="8" t="s">
        <v>26</v>
      </c>
      <c r="F7" s="8" t="s">
        <v>27</v>
      </c>
      <c r="G7" s="8" t="s">
        <v>27</v>
      </c>
      <c r="H7" s="7" t="s">
        <v>28</v>
      </c>
      <c r="I7" s="7"/>
      <c r="J7" s="7" t="s">
        <v>56</v>
      </c>
      <c r="K7" s="7" t="s">
        <v>57</v>
      </c>
      <c r="L7" s="7" t="s">
        <v>58</v>
      </c>
      <c r="M7" s="7" t="s">
        <v>46</v>
      </c>
      <c r="N7" s="7" t="s">
        <v>59</v>
      </c>
      <c r="O7" s="7" t="s">
        <v>60</v>
      </c>
      <c r="P7" s="7" t="s">
        <v>61</v>
      </c>
      <c r="Q7" s="7" t="s">
        <v>62</v>
      </c>
      <c r="R7" s="7" t="s">
        <v>51</v>
      </c>
      <c r="S7" s="7" t="s">
        <v>38</v>
      </c>
      <c r="T7" s="7" t="s">
        <v>52</v>
      </c>
      <c r="U7" s="7" t="s">
        <v>63</v>
      </c>
    </row>
    <row r="8" spans="1:21" x14ac:dyDescent="0.3">
      <c r="A8" s="9">
        <v>4</v>
      </c>
      <c r="B8" s="10" t="s">
        <v>23</v>
      </c>
      <c r="C8" s="10" t="s">
        <v>64</v>
      </c>
      <c r="D8" s="10" t="s">
        <v>65</v>
      </c>
      <c r="E8" s="8" t="s">
        <v>26</v>
      </c>
      <c r="F8" s="8" t="s">
        <v>27</v>
      </c>
      <c r="G8" s="8" t="s">
        <v>27</v>
      </c>
      <c r="H8" s="10" t="s">
        <v>28</v>
      </c>
      <c r="I8" s="10"/>
      <c r="J8" s="10" t="s">
        <v>66</v>
      </c>
      <c r="K8" s="10" t="s">
        <v>67</v>
      </c>
      <c r="L8" s="10" t="s">
        <v>31</v>
      </c>
      <c r="M8" s="10" t="s">
        <v>68</v>
      </c>
      <c r="N8" s="10" t="s">
        <v>59</v>
      </c>
      <c r="O8" s="10" t="s">
        <v>69</v>
      </c>
      <c r="P8" s="10" t="s">
        <v>70</v>
      </c>
      <c r="Q8" s="10" t="s">
        <v>71</v>
      </c>
      <c r="R8" s="10" t="s">
        <v>51</v>
      </c>
      <c r="S8" s="10" t="s">
        <v>38</v>
      </c>
      <c r="T8" s="10" t="s">
        <v>52</v>
      </c>
      <c r="U8" s="10" t="s">
        <v>72</v>
      </c>
    </row>
    <row r="9" spans="1:21" x14ac:dyDescent="0.3">
      <c r="A9" s="6">
        <v>5</v>
      </c>
      <c r="B9" s="7" t="s">
        <v>23</v>
      </c>
      <c r="C9" s="7" t="s">
        <v>73</v>
      </c>
      <c r="D9" s="7" t="s">
        <v>74</v>
      </c>
      <c r="E9" s="8" t="s">
        <v>26</v>
      </c>
      <c r="F9" s="8" t="s">
        <v>27</v>
      </c>
      <c r="G9" s="8" t="s">
        <v>27</v>
      </c>
      <c r="H9" s="7" t="s">
        <v>28</v>
      </c>
      <c r="I9" s="7"/>
      <c r="J9" s="7" t="s">
        <v>75</v>
      </c>
      <c r="K9" s="7" t="s">
        <v>76</v>
      </c>
      <c r="L9" s="7" t="s">
        <v>77</v>
      </c>
      <c r="M9" s="7" t="s">
        <v>78</v>
      </c>
      <c r="N9" s="7" t="s">
        <v>47</v>
      </c>
      <c r="O9" s="7" t="s">
        <v>79</v>
      </c>
      <c r="P9" s="7" t="s">
        <v>80</v>
      </c>
      <c r="Q9" s="7" t="s">
        <v>81</v>
      </c>
      <c r="R9" s="7" t="s">
        <v>51</v>
      </c>
      <c r="S9" s="7" t="s">
        <v>38</v>
      </c>
      <c r="T9" s="7" t="s">
        <v>52</v>
      </c>
      <c r="U9" s="7" t="s">
        <v>82</v>
      </c>
    </row>
    <row r="10" spans="1:21" x14ac:dyDescent="0.3">
      <c r="A10" s="9">
        <v>6</v>
      </c>
      <c r="B10" s="10" t="s">
        <v>23</v>
      </c>
      <c r="C10" s="10" t="s">
        <v>83</v>
      </c>
      <c r="D10" s="10" t="s">
        <v>84</v>
      </c>
      <c r="E10" s="8" t="s">
        <v>26</v>
      </c>
      <c r="F10" s="8" t="s">
        <v>27</v>
      </c>
      <c r="G10" s="8" t="s">
        <v>27</v>
      </c>
      <c r="H10" s="10" t="s">
        <v>28</v>
      </c>
      <c r="I10" s="10"/>
      <c r="J10" s="10" t="s">
        <v>85</v>
      </c>
      <c r="K10" s="10" t="s">
        <v>86</v>
      </c>
      <c r="L10" s="10" t="s">
        <v>58</v>
      </c>
      <c r="M10" s="10" t="s">
        <v>87</v>
      </c>
      <c r="N10" s="10" t="s">
        <v>47</v>
      </c>
      <c r="O10" s="10" t="s">
        <v>88</v>
      </c>
      <c r="P10" s="10" t="s">
        <v>89</v>
      </c>
      <c r="Q10" s="10" t="s">
        <v>90</v>
      </c>
      <c r="R10" s="10" t="s">
        <v>51</v>
      </c>
      <c r="S10" s="10" t="s">
        <v>38</v>
      </c>
      <c r="T10" s="10" t="s">
        <v>52</v>
      </c>
      <c r="U10" s="10" t="s">
        <v>91</v>
      </c>
    </row>
    <row r="11" spans="1:21" x14ac:dyDescent="0.3">
      <c r="A11" s="6">
        <v>7</v>
      </c>
      <c r="B11" s="7" t="s">
        <v>23</v>
      </c>
      <c r="C11" s="7" t="s">
        <v>92</v>
      </c>
      <c r="D11" s="7" t="s">
        <v>93</v>
      </c>
      <c r="E11" s="8" t="s">
        <v>26</v>
      </c>
      <c r="F11" s="8" t="s">
        <v>27</v>
      </c>
      <c r="G11" s="8" t="s">
        <v>27</v>
      </c>
      <c r="H11" s="7" t="s">
        <v>28</v>
      </c>
      <c r="I11" s="7"/>
      <c r="J11" s="7" t="s">
        <v>94</v>
      </c>
      <c r="K11" s="7" t="s">
        <v>95</v>
      </c>
      <c r="L11" s="7" t="s">
        <v>96</v>
      </c>
      <c r="M11" s="7" t="s">
        <v>97</v>
      </c>
      <c r="N11" s="7"/>
      <c r="O11" s="7" t="s">
        <v>98</v>
      </c>
      <c r="P11" s="7" t="s">
        <v>99</v>
      </c>
      <c r="Q11" s="7" t="s">
        <v>100</v>
      </c>
      <c r="R11" s="7" t="s">
        <v>101</v>
      </c>
      <c r="S11" s="7" t="s">
        <v>38</v>
      </c>
      <c r="T11" s="7" t="s">
        <v>102</v>
      </c>
      <c r="U11" s="7" t="s">
        <v>103</v>
      </c>
    </row>
    <row r="12" spans="1:21" x14ac:dyDescent="0.3">
      <c r="A12" s="9">
        <v>8</v>
      </c>
      <c r="B12" s="10" t="s">
        <v>23</v>
      </c>
      <c r="C12" s="10" t="s">
        <v>104</v>
      </c>
      <c r="D12" s="10" t="s">
        <v>105</v>
      </c>
      <c r="E12" s="8" t="s">
        <v>26</v>
      </c>
      <c r="F12" s="8" t="s">
        <v>27</v>
      </c>
      <c r="G12" s="8" t="s">
        <v>27</v>
      </c>
      <c r="H12" s="10" t="s">
        <v>28</v>
      </c>
      <c r="I12" s="10"/>
      <c r="J12" s="10" t="s">
        <v>106</v>
      </c>
      <c r="K12" s="10" t="s">
        <v>107</v>
      </c>
      <c r="L12" s="10" t="s">
        <v>108</v>
      </c>
      <c r="M12" s="10" t="s">
        <v>97</v>
      </c>
      <c r="N12" s="10"/>
      <c r="O12" s="10" t="s">
        <v>109</v>
      </c>
      <c r="P12" s="10" t="s">
        <v>110</v>
      </c>
      <c r="Q12" s="10" t="s">
        <v>111</v>
      </c>
      <c r="R12" s="10" t="s">
        <v>51</v>
      </c>
      <c r="S12" s="10" t="s">
        <v>38</v>
      </c>
      <c r="T12" s="10" t="s">
        <v>52</v>
      </c>
      <c r="U12" s="10" t="s">
        <v>112</v>
      </c>
    </row>
    <row r="13" spans="1:21" x14ac:dyDescent="0.3">
      <c r="A13" s="6">
        <v>9</v>
      </c>
      <c r="B13" s="7" t="s">
        <v>23</v>
      </c>
      <c r="C13" s="7" t="s">
        <v>113</v>
      </c>
      <c r="D13" s="7" t="s">
        <v>114</v>
      </c>
      <c r="E13" s="8" t="s">
        <v>26</v>
      </c>
      <c r="F13" s="8" t="s">
        <v>27</v>
      </c>
      <c r="G13" s="8" t="s">
        <v>27</v>
      </c>
      <c r="H13" s="7" t="s">
        <v>28</v>
      </c>
      <c r="I13" s="7"/>
      <c r="J13" s="7" t="s">
        <v>115</v>
      </c>
      <c r="K13" s="7" t="s">
        <v>116</v>
      </c>
      <c r="L13" s="7" t="s">
        <v>45</v>
      </c>
      <c r="M13" s="7" t="s">
        <v>97</v>
      </c>
      <c r="N13" s="7"/>
      <c r="O13" s="7" t="s">
        <v>117</v>
      </c>
      <c r="P13" s="7" t="s">
        <v>118</v>
      </c>
      <c r="Q13" s="7" t="s">
        <v>119</v>
      </c>
      <c r="R13" s="7" t="s">
        <v>51</v>
      </c>
      <c r="S13" s="7" t="s">
        <v>38</v>
      </c>
      <c r="T13" s="7" t="s">
        <v>52</v>
      </c>
      <c r="U13" s="7" t="s">
        <v>120</v>
      </c>
    </row>
    <row r="14" spans="1:21" x14ac:dyDescent="0.3">
      <c r="A14" s="9">
        <v>10</v>
      </c>
      <c r="B14" s="10" t="s">
        <v>23</v>
      </c>
      <c r="C14" s="10" t="s">
        <v>121</v>
      </c>
      <c r="D14" s="10" t="s">
        <v>122</v>
      </c>
      <c r="E14" s="8" t="s">
        <v>26</v>
      </c>
      <c r="F14" s="8" t="s">
        <v>27</v>
      </c>
      <c r="G14" s="8" t="s">
        <v>27</v>
      </c>
      <c r="H14" s="10" t="s">
        <v>28</v>
      </c>
      <c r="I14" s="10"/>
      <c r="J14" s="10" t="s">
        <v>123</v>
      </c>
      <c r="K14" s="10" t="s">
        <v>124</v>
      </c>
      <c r="L14" s="10" t="s">
        <v>125</v>
      </c>
      <c r="M14" s="10" t="s">
        <v>126</v>
      </c>
      <c r="N14" s="10" t="s">
        <v>127</v>
      </c>
      <c r="O14" s="10" t="s">
        <v>128</v>
      </c>
      <c r="P14" s="10" t="s">
        <v>129</v>
      </c>
      <c r="Q14" s="10" t="s">
        <v>130</v>
      </c>
      <c r="R14" s="10" t="s">
        <v>131</v>
      </c>
      <c r="S14" s="10" t="s">
        <v>38</v>
      </c>
      <c r="T14" s="10" t="s">
        <v>52</v>
      </c>
      <c r="U14" s="10" t="s">
        <v>132</v>
      </c>
    </row>
    <row r="15" spans="1:21" x14ac:dyDescent="0.3">
      <c r="A15" s="6">
        <v>11</v>
      </c>
      <c r="B15" s="7" t="s">
        <v>23</v>
      </c>
      <c r="C15" s="7" t="s">
        <v>133</v>
      </c>
      <c r="D15" s="7" t="s">
        <v>134</v>
      </c>
      <c r="E15" s="8" t="s">
        <v>26</v>
      </c>
      <c r="F15" s="8" t="s">
        <v>27</v>
      </c>
      <c r="G15" s="8" t="s">
        <v>27</v>
      </c>
      <c r="H15" s="7" t="s">
        <v>28</v>
      </c>
      <c r="I15" s="7"/>
      <c r="J15" s="7" t="s">
        <v>135</v>
      </c>
      <c r="K15" s="7" t="s">
        <v>136</v>
      </c>
      <c r="L15" s="7" t="s">
        <v>125</v>
      </c>
      <c r="M15" s="7" t="s">
        <v>137</v>
      </c>
      <c r="N15" s="7" t="s">
        <v>127</v>
      </c>
      <c r="O15" s="7" t="s">
        <v>138</v>
      </c>
      <c r="P15" s="7" t="s">
        <v>139</v>
      </c>
      <c r="Q15" s="7" t="s">
        <v>140</v>
      </c>
      <c r="R15" s="7" t="s">
        <v>141</v>
      </c>
      <c r="S15" s="7" t="s">
        <v>38</v>
      </c>
      <c r="T15" s="7" t="s">
        <v>52</v>
      </c>
      <c r="U15" s="7" t="s">
        <v>142</v>
      </c>
    </row>
    <row r="16" spans="1:21" x14ac:dyDescent="0.3">
      <c r="A16" s="9">
        <v>12</v>
      </c>
      <c r="B16" s="10" t="s">
        <v>23</v>
      </c>
      <c r="C16" s="10" t="s">
        <v>143</v>
      </c>
      <c r="D16" s="10" t="s">
        <v>144</v>
      </c>
      <c r="E16" s="8" t="s">
        <v>26</v>
      </c>
      <c r="F16" s="8" t="s">
        <v>27</v>
      </c>
      <c r="G16" s="8" t="s">
        <v>27</v>
      </c>
      <c r="H16" s="10" t="s">
        <v>28</v>
      </c>
      <c r="I16" s="10"/>
      <c r="J16" s="10" t="s">
        <v>145</v>
      </c>
      <c r="K16" s="10" t="s">
        <v>146</v>
      </c>
      <c r="L16" s="10" t="s">
        <v>147</v>
      </c>
      <c r="M16" s="10" t="s">
        <v>126</v>
      </c>
      <c r="N16" s="10" t="s">
        <v>127</v>
      </c>
      <c r="O16" s="10" t="s">
        <v>148</v>
      </c>
      <c r="P16" s="10" t="s">
        <v>149</v>
      </c>
      <c r="Q16" s="10" t="s">
        <v>150</v>
      </c>
      <c r="R16" s="10" t="s">
        <v>151</v>
      </c>
      <c r="S16" s="10" t="s">
        <v>38</v>
      </c>
      <c r="T16" s="10" t="s">
        <v>52</v>
      </c>
      <c r="U16" s="10" t="s">
        <v>152</v>
      </c>
    </row>
    <row r="17" spans="1:21" x14ac:dyDescent="0.3">
      <c r="A17" s="6">
        <v>13</v>
      </c>
      <c r="B17" s="7" t="s">
        <v>23</v>
      </c>
      <c r="C17" s="7" t="s">
        <v>153</v>
      </c>
      <c r="D17" s="7" t="s">
        <v>154</v>
      </c>
      <c r="E17" s="8" t="s">
        <v>26</v>
      </c>
      <c r="F17" s="8" t="s">
        <v>27</v>
      </c>
      <c r="G17" s="8" t="s">
        <v>27</v>
      </c>
      <c r="H17" s="7" t="s">
        <v>28</v>
      </c>
      <c r="I17" s="7"/>
      <c r="J17" s="7" t="s">
        <v>155</v>
      </c>
      <c r="K17" s="7" t="s">
        <v>156</v>
      </c>
      <c r="L17" s="7" t="s">
        <v>147</v>
      </c>
      <c r="M17" s="7" t="s">
        <v>137</v>
      </c>
      <c r="N17" s="7" t="s">
        <v>127</v>
      </c>
      <c r="O17" s="7" t="s">
        <v>157</v>
      </c>
      <c r="P17" s="7" t="s">
        <v>158</v>
      </c>
      <c r="Q17" s="7" t="s">
        <v>159</v>
      </c>
      <c r="R17" s="7" t="s">
        <v>160</v>
      </c>
      <c r="S17" s="7" t="s">
        <v>38</v>
      </c>
      <c r="T17" s="7" t="s">
        <v>52</v>
      </c>
      <c r="U17" s="7" t="s">
        <v>161</v>
      </c>
    </row>
    <row r="18" spans="1:21" x14ac:dyDescent="0.3">
      <c r="A18" s="9">
        <v>14</v>
      </c>
      <c r="B18" s="10" t="s">
        <v>23</v>
      </c>
      <c r="C18" s="10" t="s">
        <v>162</v>
      </c>
      <c r="D18" s="10" t="s">
        <v>163</v>
      </c>
      <c r="E18" s="8" t="s">
        <v>26</v>
      </c>
      <c r="F18" s="8" t="s">
        <v>27</v>
      </c>
      <c r="G18" s="8" t="s">
        <v>27</v>
      </c>
      <c r="H18" s="10" t="s">
        <v>28</v>
      </c>
      <c r="I18" s="10"/>
      <c r="J18" s="10" t="s">
        <v>164</v>
      </c>
      <c r="K18" s="10" t="s">
        <v>165</v>
      </c>
      <c r="L18" s="10" t="s">
        <v>166</v>
      </c>
      <c r="M18" s="10" t="s">
        <v>167</v>
      </c>
      <c r="N18" s="10"/>
      <c r="O18" s="10" t="s">
        <v>168</v>
      </c>
      <c r="P18" s="10" t="s">
        <v>169</v>
      </c>
      <c r="Q18" s="10" t="s">
        <v>170</v>
      </c>
      <c r="R18" s="10" t="s">
        <v>171</v>
      </c>
      <c r="S18" s="10" t="s">
        <v>38</v>
      </c>
      <c r="T18" s="10" t="s">
        <v>172</v>
      </c>
      <c r="U18" s="10" t="s">
        <v>173</v>
      </c>
    </row>
    <row r="19" spans="1:21" x14ac:dyDescent="0.3">
      <c r="A19" s="6">
        <v>15</v>
      </c>
      <c r="B19" s="7" t="s">
        <v>23</v>
      </c>
      <c r="C19" s="7" t="s">
        <v>174</v>
      </c>
      <c r="D19" s="7" t="s">
        <v>175</v>
      </c>
      <c r="E19" s="8" t="s">
        <v>26</v>
      </c>
      <c r="F19" s="8" t="s">
        <v>27</v>
      </c>
      <c r="G19" s="8" t="s">
        <v>26</v>
      </c>
      <c r="H19" s="7" t="s">
        <v>28</v>
      </c>
      <c r="I19" s="7"/>
      <c r="J19" s="7" t="s">
        <v>176</v>
      </c>
      <c r="K19" s="7" t="s">
        <v>177</v>
      </c>
      <c r="L19" s="7" t="s">
        <v>178</v>
      </c>
      <c r="M19" s="7" t="s">
        <v>179</v>
      </c>
      <c r="N19" s="7"/>
      <c r="O19" s="7" t="s">
        <v>180</v>
      </c>
      <c r="P19" s="7" t="s">
        <v>181</v>
      </c>
      <c r="Q19" s="7" t="s">
        <v>182</v>
      </c>
      <c r="R19" s="7" t="s">
        <v>183</v>
      </c>
      <c r="S19" s="7" t="s">
        <v>184</v>
      </c>
      <c r="T19" s="7" t="s">
        <v>185</v>
      </c>
      <c r="U19" s="7" t="s">
        <v>186</v>
      </c>
    </row>
    <row r="20" spans="1:21" x14ac:dyDescent="0.3">
      <c r="A20" s="9">
        <v>16</v>
      </c>
      <c r="B20" s="10" t="s">
        <v>23</v>
      </c>
      <c r="C20" s="10" t="s">
        <v>187</v>
      </c>
      <c r="D20" s="10" t="s">
        <v>188</v>
      </c>
      <c r="E20" s="8" t="s">
        <v>189</v>
      </c>
      <c r="F20" s="8" t="s">
        <v>27</v>
      </c>
      <c r="G20" s="8" t="s">
        <v>27</v>
      </c>
      <c r="H20" s="10" t="s">
        <v>28</v>
      </c>
      <c r="I20" s="10"/>
      <c r="J20" s="10" t="s">
        <v>190</v>
      </c>
      <c r="K20" s="10" t="s">
        <v>191</v>
      </c>
      <c r="L20" s="10" t="s">
        <v>192</v>
      </c>
      <c r="M20" s="10" t="s">
        <v>193</v>
      </c>
      <c r="N20" s="10"/>
      <c r="O20" s="10" t="s">
        <v>194</v>
      </c>
      <c r="P20" s="10" t="s">
        <v>181</v>
      </c>
      <c r="Q20" s="10" t="s">
        <v>195</v>
      </c>
      <c r="R20" s="10" t="s">
        <v>51</v>
      </c>
      <c r="S20" s="10" t="s">
        <v>196</v>
      </c>
      <c r="T20" s="10" t="s">
        <v>197</v>
      </c>
      <c r="U20" s="10" t="s">
        <v>198</v>
      </c>
    </row>
    <row r="21" spans="1:21" x14ac:dyDescent="0.3">
      <c r="A21" s="6">
        <v>17</v>
      </c>
      <c r="B21" s="7" t="s">
        <v>23</v>
      </c>
      <c r="C21" s="7" t="s">
        <v>199</v>
      </c>
      <c r="D21" s="7" t="s">
        <v>200</v>
      </c>
      <c r="E21" s="8" t="s">
        <v>189</v>
      </c>
      <c r="F21" s="8" t="s">
        <v>26</v>
      </c>
      <c r="G21" s="8" t="s">
        <v>26</v>
      </c>
      <c r="H21" s="7" t="s">
        <v>28</v>
      </c>
      <c r="I21" s="7"/>
      <c r="J21" s="7" t="s">
        <v>201</v>
      </c>
      <c r="K21" s="7" t="s">
        <v>202</v>
      </c>
      <c r="L21" s="7" t="s">
        <v>203</v>
      </c>
      <c r="M21" s="7" t="s">
        <v>204</v>
      </c>
      <c r="N21" s="7"/>
      <c r="O21" s="7" t="s">
        <v>205</v>
      </c>
      <c r="P21" s="7" t="s">
        <v>206</v>
      </c>
      <c r="Q21" s="7" t="s">
        <v>207</v>
      </c>
      <c r="R21" s="7" t="s">
        <v>51</v>
      </c>
      <c r="S21" s="7" t="s">
        <v>208</v>
      </c>
      <c r="T21" s="7" t="s">
        <v>209</v>
      </c>
      <c r="U21" s="7" t="s">
        <v>210</v>
      </c>
    </row>
    <row r="22" spans="1:21" x14ac:dyDescent="0.3">
      <c r="A22" s="9">
        <v>18</v>
      </c>
      <c r="B22" s="10" t="s">
        <v>23</v>
      </c>
      <c r="C22" s="10" t="s">
        <v>211</v>
      </c>
      <c r="D22" s="10" t="s">
        <v>212</v>
      </c>
      <c r="E22" s="8" t="s">
        <v>213</v>
      </c>
      <c r="F22" s="8" t="s">
        <v>26</v>
      </c>
      <c r="G22" s="8" t="s">
        <v>26</v>
      </c>
      <c r="H22" s="10" t="s">
        <v>28</v>
      </c>
      <c r="I22" s="10"/>
      <c r="J22" s="10" t="s">
        <v>214</v>
      </c>
      <c r="K22" s="10" t="s">
        <v>215</v>
      </c>
      <c r="L22" s="10" t="s">
        <v>216</v>
      </c>
      <c r="M22" s="10" t="s">
        <v>217</v>
      </c>
      <c r="N22" s="10"/>
      <c r="O22" s="10" t="s">
        <v>218</v>
      </c>
      <c r="P22" s="10" t="s">
        <v>219</v>
      </c>
      <c r="Q22" s="10" t="s">
        <v>220</v>
      </c>
      <c r="R22" s="10" t="s">
        <v>221</v>
      </c>
      <c r="S22" s="10" t="s">
        <v>222</v>
      </c>
      <c r="T22" s="10" t="s">
        <v>223</v>
      </c>
      <c r="U22" s="10" t="s">
        <v>224</v>
      </c>
    </row>
    <row r="23" spans="1:21" x14ac:dyDescent="0.3">
      <c r="A23" s="6">
        <v>19</v>
      </c>
      <c r="B23" s="7" t="s">
        <v>225</v>
      </c>
      <c r="C23" s="7" t="s">
        <v>226</v>
      </c>
      <c r="D23" s="7" t="s">
        <v>227</v>
      </c>
      <c r="E23" s="8" t="s">
        <v>26</v>
      </c>
      <c r="F23" s="8" t="s">
        <v>228</v>
      </c>
      <c r="G23" s="8" t="s">
        <v>27</v>
      </c>
      <c r="H23" s="7" t="s">
        <v>28</v>
      </c>
      <c r="I23" s="7"/>
      <c r="J23" s="7" t="s">
        <v>229</v>
      </c>
      <c r="K23" s="7" t="s">
        <v>230</v>
      </c>
      <c r="L23" s="7" t="s">
        <v>231</v>
      </c>
      <c r="M23" s="7" t="s">
        <v>232</v>
      </c>
      <c r="N23" s="7" t="s">
        <v>233</v>
      </c>
      <c r="O23" s="7" t="s">
        <v>234</v>
      </c>
      <c r="P23" s="7" t="s">
        <v>235</v>
      </c>
      <c r="Q23" s="7" t="s">
        <v>236</v>
      </c>
      <c r="R23" s="7" t="s">
        <v>237</v>
      </c>
      <c r="S23" s="7" t="s">
        <v>238</v>
      </c>
      <c r="T23" s="7" t="s">
        <v>239</v>
      </c>
      <c r="U23" s="7" t="s">
        <v>240</v>
      </c>
    </row>
    <row r="24" spans="1:21" x14ac:dyDescent="0.3">
      <c r="A24" s="9">
        <v>20</v>
      </c>
      <c r="B24" s="10" t="s">
        <v>225</v>
      </c>
      <c r="C24" s="10" t="s">
        <v>241</v>
      </c>
      <c r="D24" s="10" t="s">
        <v>242</v>
      </c>
      <c r="E24" s="8" t="s">
        <v>26</v>
      </c>
      <c r="F24" s="8" t="s">
        <v>228</v>
      </c>
      <c r="G24" s="8" t="s">
        <v>27</v>
      </c>
      <c r="H24" s="10" t="s">
        <v>28</v>
      </c>
      <c r="I24" s="10"/>
      <c r="J24" s="10" t="s">
        <v>243</v>
      </c>
      <c r="K24" s="10" t="s">
        <v>244</v>
      </c>
      <c r="L24" s="10" t="s">
        <v>245</v>
      </c>
      <c r="M24" s="10" t="s">
        <v>246</v>
      </c>
      <c r="N24" s="10" t="s">
        <v>247</v>
      </c>
      <c r="O24" s="10" t="s">
        <v>248</v>
      </c>
      <c r="P24" s="10" t="s">
        <v>249</v>
      </c>
      <c r="Q24" s="10" t="s">
        <v>250</v>
      </c>
      <c r="R24" s="10" t="s">
        <v>251</v>
      </c>
      <c r="S24" s="10" t="s">
        <v>238</v>
      </c>
      <c r="T24" s="10" t="s">
        <v>239</v>
      </c>
      <c r="U24" s="10" t="s">
        <v>252</v>
      </c>
    </row>
    <row r="25" spans="1:21" x14ac:dyDescent="0.3">
      <c r="A25" s="6">
        <v>21</v>
      </c>
      <c r="B25" s="7" t="s">
        <v>225</v>
      </c>
      <c r="C25" s="7" t="s">
        <v>253</v>
      </c>
      <c r="D25" s="7" t="s">
        <v>254</v>
      </c>
      <c r="E25" s="8" t="s">
        <v>26</v>
      </c>
      <c r="F25" s="8" t="s">
        <v>228</v>
      </c>
      <c r="G25" s="8" t="s">
        <v>27</v>
      </c>
      <c r="H25" s="7" t="s">
        <v>28</v>
      </c>
      <c r="I25" s="7"/>
      <c r="J25" s="7" t="s">
        <v>255</v>
      </c>
      <c r="K25" s="7" t="s">
        <v>256</v>
      </c>
      <c r="L25" s="7" t="s">
        <v>257</v>
      </c>
      <c r="M25" s="7" t="s">
        <v>258</v>
      </c>
      <c r="N25" s="7"/>
      <c r="O25" s="7" t="s">
        <v>259</v>
      </c>
      <c r="P25" s="7" t="s">
        <v>260</v>
      </c>
      <c r="Q25" s="7" t="s">
        <v>261</v>
      </c>
      <c r="R25" s="7" t="s">
        <v>251</v>
      </c>
      <c r="S25" s="7" t="s">
        <v>238</v>
      </c>
      <c r="T25" s="7" t="s">
        <v>239</v>
      </c>
      <c r="U25" s="7" t="s">
        <v>262</v>
      </c>
    </row>
    <row r="26" spans="1:21" x14ac:dyDescent="0.3">
      <c r="A26" s="9">
        <v>22</v>
      </c>
      <c r="B26" s="10" t="s">
        <v>225</v>
      </c>
      <c r="C26" s="10" t="s">
        <v>263</v>
      </c>
      <c r="D26" s="10" t="s">
        <v>264</v>
      </c>
      <c r="E26" s="8" t="s">
        <v>26</v>
      </c>
      <c r="F26" s="8" t="s">
        <v>228</v>
      </c>
      <c r="G26" s="8" t="s">
        <v>27</v>
      </c>
      <c r="H26" s="10" t="s">
        <v>28</v>
      </c>
      <c r="I26" s="10"/>
      <c r="J26" s="10" t="s">
        <v>265</v>
      </c>
      <c r="K26" s="10" t="s">
        <v>266</v>
      </c>
      <c r="L26" s="10" t="s">
        <v>267</v>
      </c>
      <c r="M26" s="10" t="s">
        <v>268</v>
      </c>
      <c r="N26" s="10"/>
      <c r="O26" s="10" t="s">
        <v>269</v>
      </c>
      <c r="P26" s="10" t="s">
        <v>270</v>
      </c>
      <c r="Q26" s="10" t="s">
        <v>271</v>
      </c>
      <c r="R26" s="10" t="s">
        <v>237</v>
      </c>
      <c r="S26" s="10" t="s">
        <v>238</v>
      </c>
      <c r="T26" s="10" t="s">
        <v>239</v>
      </c>
      <c r="U26" s="10" t="s">
        <v>272</v>
      </c>
    </row>
    <row r="27" spans="1:21" x14ac:dyDescent="0.3">
      <c r="A27" s="6">
        <v>23</v>
      </c>
      <c r="B27" s="7" t="s">
        <v>225</v>
      </c>
      <c r="C27" s="7" t="s">
        <v>273</v>
      </c>
      <c r="D27" s="7" t="s">
        <v>274</v>
      </c>
      <c r="E27" s="8" t="s">
        <v>26</v>
      </c>
      <c r="F27" s="8" t="s">
        <v>228</v>
      </c>
      <c r="G27" s="8" t="s">
        <v>27</v>
      </c>
      <c r="H27" s="7" t="s">
        <v>28</v>
      </c>
      <c r="I27" s="7"/>
      <c r="J27" s="7" t="s">
        <v>275</v>
      </c>
      <c r="K27" s="7" t="s">
        <v>276</v>
      </c>
      <c r="L27" s="7" t="s">
        <v>277</v>
      </c>
      <c r="M27" s="7" t="s">
        <v>278</v>
      </c>
      <c r="N27" s="7"/>
      <c r="O27" s="7" t="s">
        <v>279</v>
      </c>
      <c r="P27" s="7" t="s">
        <v>280</v>
      </c>
      <c r="Q27" s="7" t="s">
        <v>281</v>
      </c>
      <c r="R27" s="7" t="s">
        <v>282</v>
      </c>
      <c r="S27" s="7" t="s">
        <v>238</v>
      </c>
      <c r="T27" s="7" t="s">
        <v>239</v>
      </c>
      <c r="U27" s="7" t="s">
        <v>283</v>
      </c>
    </row>
    <row r="28" spans="1:21" x14ac:dyDescent="0.3">
      <c r="A28" s="9">
        <v>24</v>
      </c>
      <c r="B28" s="10" t="s">
        <v>225</v>
      </c>
      <c r="C28" s="10" t="s">
        <v>284</v>
      </c>
      <c r="D28" s="10" t="s">
        <v>285</v>
      </c>
      <c r="E28" s="8" t="s">
        <v>189</v>
      </c>
      <c r="F28" s="8" t="s">
        <v>228</v>
      </c>
      <c r="G28" s="8" t="s">
        <v>27</v>
      </c>
      <c r="H28" s="10" t="s">
        <v>28</v>
      </c>
      <c r="I28" s="10"/>
      <c r="J28" s="10" t="s">
        <v>286</v>
      </c>
      <c r="K28" s="10" t="s">
        <v>287</v>
      </c>
      <c r="L28" s="10" t="s">
        <v>288</v>
      </c>
      <c r="M28" s="10" t="s">
        <v>289</v>
      </c>
      <c r="N28" s="10"/>
      <c r="O28" s="10" t="s">
        <v>290</v>
      </c>
      <c r="P28" s="10" t="s">
        <v>181</v>
      </c>
      <c r="Q28" s="10" t="s">
        <v>291</v>
      </c>
      <c r="R28" s="10" t="s">
        <v>292</v>
      </c>
      <c r="S28" s="10" t="s">
        <v>293</v>
      </c>
      <c r="T28" s="10" t="s">
        <v>197</v>
      </c>
      <c r="U28" s="10" t="s">
        <v>294</v>
      </c>
    </row>
    <row r="29" spans="1:21" x14ac:dyDescent="0.3">
      <c r="A29" s="6">
        <v>25</v>
      </c>
      <c r="B29" s="7" t="s">
        <v>225</v>
      </c>
      <c r="C29" s="7" t="s">
        <v>295</v>
      </c>
      <c r="D29" s="7" t="s">
        <v>296</v>
      </c>
      <c r="E29" s="8" t="s">
        <v>26</v>
      </c>
      <c r="F29" s="8" t="s">
        <v>297</v>
      </c>
      <c r="G29" s="8" t="s">
        <v>27</v>
      </c>
      <c r="H29" s="7" t="s">
        <v>28</v>
      </c>
      <c r="I29" s="7" t="s">
        <v>298</v>
      </c>
      <c r="J29" s="7" t="s">
        <v>299</v>
      </c>
      <c r="K29" s="7" t="s">
        <v>300</v>
      </c>
      <c r="L29" s="7" t="s">
        <v>301</v>
      </c>
      <c r="M29" s="7" t="s">
        <v>302</v>
      </c>
      <c r="N29" s="7"/>
      <c r="O29" s="7" t="s">
        <v>303</v>
      </c>
      <c r="P29" s="7" t="s">
        <v>304</v>
      </c>
      <c r="Q29" s="7" t="s">
        <v>305</v>
      </c>
      <c r="R29" s="7" t="s">
        <v>51</v>
      </c>
      <c r="S29" s="7" t="s">
        <v>306</v>
      </c>
      <c r="T29" s="7" t="s">
        <v>307</v>
      </c>
      <c r="U29" s="7" t="s">
        <v>308</v>
      </c>
    </row>
    <row r="30" spans="1:21" x14ac:dyDescent="0.3">
      <c r="A30" s="9">
        <v>26</v>
      </c>
      <c r="B30" s="10" t="s">
        <v>225</v>
      </c>
      <c r="C30" s="10" t="s">
        <v>309</v>
      </c>
      <c r="D30" s="10" t="s">
        <v>310</v>
      </c>
      <c r="E30" s="8" t="s">
        <v>189</v>
      </c>
      <c r="F30" s="8" t="s">
        <v>26</v>
      </c>
      <c r="G30" s="8" t="s">
        <v>26</v>
      </c>
      <c r="H30" s="10" t="s">
        <v>311</v>
      </c>
      <c r="I30" s="10" t="s">
        <v>312</v>
      </c>
      <c r="J30" s="10" t="s">
        <v>313</v>
      </c>
      <c r="K30" s="10" t="s">
        <v>314</v>
      </c>
      <c r="L30" s="10" t="s">
        <v>315</v>
      </c>
      <c r="M30" s="10" t="s">
        <v>316</v>
      </c>
      <c r="N30" s="10"/>
      <c r="O30" s="10" t="s">
        <v>317</v>
      </c>
      <c r="P30" s="10" t="s">
        <v>318</v>
      </c>
      <c r="Q30" s="10" t="s">
        <v>319</v>
      </c>
      <c r="R30" s="10" t="s">
        <v>320</v>
      </c>
      <c r="S30" s="10" t="s">
        <v>321</v>
      </c>
      <c r="T30" s="10" t="s">
        <v>322</v>
      </c>
      <c r="U30" s="10" t="s">
        <v>323</v>
      </c>
    </row>
    <row r="31" spans="1:21" x14ac:dyDescent="0.3">
      <c r="A31" s="6">
        <v>27</v>
      </c>
      <c r="B31" s="7" t="s">
        <v>324</v>
      </c>
      <c r="C31" s="7" t="s">
        <v>325</v>
      </c>
      <c r="D31" s="7" t="s">
        <v>326</v>
      </c>
      <c r="E31" s="8" t="s">
        <v>26</v>
      </c>
      <c r="F31" s="8" t="s">
        <v>297</v>
      </c>
      <c r="G31" s="8" t="s">
        <v>27</v>
      </c>
      <c r="H31" s="7" t="s">
        <v>311</v>
      </c>
      <c r="I31" s="7" t="s">
        <v>327</v>
      </c>
      <c r="J31" s="7" t="s">
        <v>328</v>
      </c>
      <c r="K31" s="7" t="s">
        <v>329</v>
      </c>
      <c r="L31" s="7" t="s">
        <v>330</v>
      </c>
      <c r="M31" s="7" t="s">
        <v>331</v>
      </c>
      <c r="N31" s="7" t="s">
        <v>332</v>
      </c>
      <c r="O31" s="7" t="s">
        <v>333</v>
      </c>
      <c r="P31" s="7" t="s">
        <v>334</v>
      </c>
      <c r="Q31" s="7" t="s">
        <v>335</v>
      </c>
      <c r="R31" s="7" t="s">
        <v>336</v>
      </c>
      <c r="S31" s="7" t="s">
        <v>306</v>
      </c>
      <c r="T31" s="7" t="s">
        <v>337</v>
      </c>
      <c r="U31" s="7" t="s">
        <v>338</v>
      </c>
    </row>
    <row r="32" spans="1:21" x14ac:dyDescent="0.3">
      <c r="A32" s="9">
        <v>28</v>
      </c>
      <c r="B32" s="10" t="s">
        <v>324</v>
      </c>
      <c r="C32" s="10" t="s">
        <v>339</v>
      </c>
      <c r="D32" s="10" t="s">
        <v>340</v>
      </c>
      <c r="E32" s="8" t="s">
        <v>26</v>
      </c>
      <c r="F32" s="8" t="s">
        <v>297</v>
      </c>
      <c r="G32" s="8" t="s">
        <v>27</v>
      </c>
      <c r="H32" s="10" t="s">
        <v>311</v>
      </c>
      <c r="I32" s="10" t="s">
        <v>341</v>
      </c>
      <c r="J32" s="10" t="s">
        <v>342</v>
      </c>
      <c r="K32" s="10" t="s">
        <v>343</v>
      </c>
      <c r="L32" s="10" t="s">
        <v>344</v>
      </c>
      <c r="M32" s="10" t="s">
        <v>345</v>
      </c>
      <c r="N32" s="10"/>
      <c r="O32" s="10" t="s">
        <v>346</v>
      </c>
      <c r="P32" s="10" t="s">
        <v>347</v>
      </c>
      <c r="Q32" s="10" t="s">
        <v>348</v>
      </c>
      <c r="R32" s="10" t="s">
        <v>349</v>
      </c>
      <c r="S32" s="10" t="s">
        <v>306</v>
      </c>
      <c r="T32" s="10" t="s">
        <v>350</v>
      </c>
      <c r="U32" s="10" t="s">
        <v>351</v>
      </c>
    </row>
    <row r="33" spans="1:21" x14ac:dyDescent="0.3">
      <c r="A33" s="6">
        <v>29</v>
      </c>
      <c r="B33" s="7" t="s">
        <v>324</v>
      </c>
      <c r="C33" s="7" t="s">
        <v>352</v>
      </c>
      <c r="D33" s="7" t="s">
        <v>353</v>
      </c>
      <c r="E33" s="8" t="s">
        <v>26</v>
      </c>
      <c r="F33" s="8" t="s">
        <v>297</v>
      </c>
      <c r="G33" s="8" t="s">
        <v>27</v>
      </c>
      <c r="H33" s="7" t="s">
        <v>311</v>
      </c>
      <c r="I33" s="7" t="s">
        <v>327</v>
      </c>
      <c r="J33" s="7" t="s">
        <v>354</v>
      </c>
      <c r="K33" s="7" t="s">
        <v>355</v>
      </c>
      <c r="L33" s="7" t="s">
        <v>356</v>
      </c>
      <c r="M33" s="7" t="s">
        <v>331</v>
      </c>
      <c r="N33" s="7" t="s">
        <v>357</v>
      </c>
      <c r="O33" s="7" t="s">
        <v>358</v>
      </c>
      <c r="P33" s="7" t="s">
        <v>359</v>
      </c>
      <c r="Q33" s="7" t="s">
        <v>360</v>
      </c>
      <c r="R33" s="7" t="s">
        <v>336</v>
      </c>
      <c r="S33" s="7" t="s">
        <v>306</v>
      </c>
      <c r="T33" s="7" t="s">
        <v>337</v>
      </c>
      <c r="U33" s="7" t="s">
        <v>361</v>
      </c>
    </row>
    <row r="34" spans="1:21" x14ac:dyDescent="0.3">
      <c r="A34" s="9">
        <v>30</v>
      </c>
      <c r="B34" s="10" t="s">
        <v>324</v>
      </c>
      <c r="C34" s="10" t="s">
        <v>362</v>
      </c>
      <c r="D34" s="10" t="s">
        <v>363</v>
      </c>
      <c r="E34" s="8" t="s">
        <v>26</v>
      </c>
      <c r="F34" s="8" t="s">
        <v>297</v>
      </c>
      <c r="G34" s="8" t="s">
        <v>27</v>
      </c>
      <c r="H34" s="10" t="s">
        <v>311</v>
      </c>
      <c r="I34" s="10" t="s">
        <v>341</v>
      </c>
      <c r="J34" s="10" t="s">
        <v>364</v>
      </c>
      <c r="K34" s="10" t="s">
        <v>365</v>
      </c>
      <c r="L34" s="10" t="s">
        <v>366</v>
      </c>
      <c r="M34" s="10" t="s">
        <v>367</v>
      </c>
      <c r="N34" s="10"/>
      <c r="O34" s="10" t="s">
        <v>368</v>
      </c>
      <c r="P34" s="10" t="s">
        <v>369</v>
      </c>
      <c r="Q34" s="10" t="s">
        <v>370</v>
      </c>
      <c r="R34" s="10" t="s">
        <v>371</v>
      </c>
      <c r="S34" s="10" t="s">
        <v>306</v>
      </c>
      <c r="T34" s="10" t="s">
        <v>350</v>
      </c>
      <c r="U34" s="10" t="s">
        <v>372</v>
      </c>
    </row>
    <row r="35" spans="1:21" x14ac:dyDescent="0.3">
      <c r="A35" s="6">
        <v>31</v>
      </c>
      <c r="B35" s="7" t="s">
        <v>324</v>
      </c>
      <c r="C35" s="7" t="s">
        <v>373</v>
      </c>
      <c r="D35" s="7" t="s">
        <v>374</v>
      </c>
      <c r="E35" s="8" t="s">
        <v>26</v>
      </c>
      <c r="F35" s="8" t="s">
        <v>297</v>
      </c>
      <c r="G35" s="8" t="s">
        <v>27</v>
      </c>
      <c r="H35" s="7" t="s">
        <v>311</v>
      </c>
      <c r="I35" s="7" t="s">
        <v>327</v>
      </c>
      <c r="J35" s="7" t="s">
        <v>375</v>
      </c>
      <c r="K35" s="7" t="s">
        <v>376</v>
      </c>
      <c r="L35" s="7" t="s">
        <v>377</v>
      </c>
      <c r="M35" s="7" t="s">
        <v>331</v>
      </c>
      <c r="N35" s="7" t="s">
        <v>357</v>
      </c>
      <c r="O35" s="7" t="s">
        <v>378</v>
      </c>
      <c r="P35" s="7" t="s">
        <v>379</v>
      </c>
      <c r="Q35" s="7" t="s">
        <v>380</v>
      </c>
      <c r="R35" s="7" t="s">
        <v>336</v>
      </c>
      <c r="S35" s="7" t="s">
        <v>306</v>
      </c>
      <c r="T35" s="7" t="s">
        <v>337</v>
      </c>
      <c r="U35" s="7" t="s">
        <v>381</v>
      </c>
    </row>
    <row r="36" spans="1:21" x14ac:dyDescent="0.3">
      <c r="A36" s="9">
        <v>32</v>
      </c>
      <c r="B36" s="10" t="s">
        <v>324</v>
      </c>
      <c r="C36" s="10" t="s">
        <v>382</v>
      </c>
      <c r="D36" s="10" t="s">
        <v>383</v>
      </c>
      <c r="E36" s="8" t="s">
        <v>26</v>
      </c>
      <c r="F36" s="8" t="s">
        <v>297</v>
      </c>
      <c r="G36" s="8" t="s">
        <v>27</v>
      </c>
      <c r="H36" s="10" t="s">
        <v>311</v>
      </c>
      <c r="I36" s="10" t="s">
        <v>341</v>
      </c>
      <c r="J36" s="10" t="s">
        <v>384</v>
      </c>
      <c r="K36" s="10" t="s">
        <v>385</v>
      </c>
      <c r="L36" s="10" t="s">
        <v>386</v>
      </c>
      <c r="M36" s="10" t="s">
        <v>367</v>
      </c>
      <c r="N36" s="10"/>
      <c r="O36" s="10" t="s">
        <v>387</v>
      </c>
      <c r="P36" s="10" t="s">
        <v>388</v>
      </c>
      <c r="Q36" s="10" t="s">
        <v>389</v>
      </c>
      <c r="R36" s="10" t="s">
        <v>390</v>
      </c>
      <c r="S36" s="10" t="s">
        <v>306</v>
      </c>
      <c r="T36" s="10" t="s">
        <v>350</v>
      </c>
      <c r="U36" s="10" t="s">
        <v>391</v>
      </c>
    </row>
    <row r="37" spans="1:21" x14ac:dyDescent="0.3">
      <c r="A37" s="6">
        <v>33</v>
      </c>
      <c r="B37" s="7" t="s">
        <v>324</v>
      </c>
      <c r="C37" s="7" t="s">
        <v>392</v>
      </c>
      <c r="D37" s="7" t="s">
        <v>393</v>
      </c>
      <c r="E37" s="8" t="s">
        <v>26</v>
      </c>
      <c r="F37" s="8" t="s">
        <v>297</v>
      </c>
      <c r="G37" s="8" t="s">
        <v>26</v>
      </c>
      <c r="H37" s="7" t="s">
        <v>311</v>
      </c>
      <c r="I37" s="7" t="s">
        <v>394</v>
      </c>
      <c r="J37" s="7" t="s">
        <v>395</v>
      </c>
      <c r="K37" s="7" t="s">
        <v>396</v>
      </c>
      <c r="L37" s="7" t="s">
        <v>397</v>
      </c>
      <c r="M37" s="7" t="s">
        <v>398</v>
      </c>
      <c r="N37" s="7"/>
      <c r="O37" s="7" t="s">
        <v>399</v>
      </c>
      <c r="P37" s="7" t="s">
        <v>400</v>
      </c>
      <c r="Q37" s="7" t="s">
        <v>401</v>
      </c>
      <c r="R37" s="7" t="s">
        <v>51</v>
      </c>
      <c r="S37" s="7" t="s">
        <v>402</v>
      </c>
      <c r="T37" s="7" t="s">
        <v>403</v>
      </c>
      <c r="U37" s="7" t="s">
        <v>404</v>
      </c>
    </row>
    <row r="38" spans="1:21" x14ac:dyDescent="0.3">
      <c r="A38" s="9">
        <v>34</v>
      </c>
      <c r="B38" s="10" t="s">
        <v>324</v>
      </c>
      <c r="C38" s="10" t="s">
        <v>405</v>
      </c>
      <c r="D38" s="10" t="s">
        <v>406</v>
      </c>
      <c r="E38" s="8" t="s">
        <v>26</v>
      </c>
      <c r="F38" s="8" t="s">
        <v>297</v>
      </c>
      <c r="G38" s="8" t="s">
        <v>26</v>
      </c>
      <c r="H38" s="10" t="s">
        <v>311</v>
      </c>
      <c r="I38" s="10" t="s">
        <v>394</v>
      </c>
      <c r="J38" s="10" t="s">
        <v>407</v>
      </c>
      <c r="K38" s="10" t="s">
        <v>408</v>
      </c>
      <c r="L38" s="10" t="s">
        <v>409</v>
      </c>
      <c r="M38" s="10" t="s">
        <v>398</v>
      </c>
      <c r="N38" s="10"/>
      <c r="O38" s="10" t="s">
        <v>410</v>
      </c>
      <c r="P38" s="10" t="s">
        <v>411</v>
      </c>
      <c r="Q38" s="10" t="s">
        <v>412</v>
      </c>
      <c r="R38" s="10" t="s">
        <v>413</v>
      </c>
      <c r="S38" s="10" t="s">
        <v>402</v>
      </c>
      <c r="T38" s="10" t="s">
        <v>403</v>
      </c>
      <c r="U38" s="10" t="s">
        <v>414</v>
      </c>
    </row>
    <row r="39" spans="1:21" x14ac:dyDescent="0.3">
      <c r="A39" s="6">
        <v>35</v>
      </c>
      <c r="B39" s="7" t="s">
        <v>324</v>
      </c>
      <c r="C39" s="7" t="s">
        <v>415</v>
      </c>
      <c r="D39" s="7" t="s">
        <v>416</v>
      </c>
      <c r="E39" s="8" t="s">
        <v>26</v>
      </c>
      <c r="F39" s="8" t="s">
        <v>297</v>
      </c>
      <c r="G39" s="8" t="s">
        <v>26</v>
      </c>
      <c r="H39" s="7" t="s">
        <v>311</v>
      </c>
      <c r="I39" s="7" t="s">
        <v>394</v>
      </c>
      <c r="J39" s="7" t="s">
        <v>417</v>
      </c>
      <c r="K39" s="7" t="s">
        <v>418</v>
      </c>
      <c r="L39" s="7" t="s">
        <v>419</v>
      </c>
      <c r="M39" s="7" t="s">
        <v>398</v>
      </c>
      <c r="N39" s="7"/>
      <c r="O39" s="7" t="s">
        <v>420</v>
      </c>
      <c r="P39" s="7" t="s">
        <v>421</v>
      </c>
      <c r="Q39" s="7" t="s">
        <v>422</v>
      </c>
      <c r="R39" s="7" t="s">
        <v>51</v>
      </c>
      <c r="S39" s="7" t="s">
        <v>402</v>
      </c>
      <c r="T39" s="7" t="s">
        <v>403</v>
      </c>
      <c r="U39" s="7" t="s">
        <v>423</v>
      </c>
    </row>
    <row r="40" spans="1:21" x14ac:dyDescent="0.3">
      <c r="A40" s="9">
        <v>36</v>
      </c>
      <c r="B40" s="10" t="s">
        <v>324</v>
      </c>
      <c r="C40" s="10" t="s">
        <v>424</v>
      </c>
      <c r="D40" s="10" t="s">
        <v>425</v>
      </c>
      <c r="E40" s="8" t="s">
        <v>26</v>
      </c>
      <c r="F40" s="8" t="s">
        <v>297</v>
      </c>
      <c r="G40" s="8" t="s">
        <v>297</v>
      </c>
      <c r="H40" s="10" t="s">
        <v>426</v>
      </c>
      <c r="I40" s="10" t="s">
        <v>427</v>
      </c>
      <c r="J40" s="10" t="s">
        <v>428</v>
      </c>
      <c r="K40" s="10" t="s">
        <v>429</v>
      </c>
      <c r="L40" s="10" t="s">
        <v>430</v>
      </c>
      <c r="M40" s="10" t="s">
        <v>431</v>
      </c>
      <c r="N40" s="10" t="s">
        <v>432</v>
      </c>
      <c r="O40" s="10" t="s">
        <v>433</v>
      </c>
      <c r="P40" s="10" t="s">
        <v>181</v>
      </c>
      <c r="Q40" s="10" t="s">
        <v>434</v>
      </c>
      <c r="R40" s="10" t="s">
        <v>51</v>
      </c>
      <c r="S40" s="10" t="s">
        <v>402</v>
      </c>
      <c r="T40" s="10" t="s">
        <v>435</v>
      </c>
      <c r="U40" s="10" t="s">
        <v>436</v>
      </c>
    </row>
    <row r="41" spans="1:21" x14ac:dyDescent="0.3">
      <c r="A41" s="6">
        <v>37</v>
      </c>
      <c r="B41" s="7" t="s">
        <v>324</v>
      </c>
      <c r="C41" s="7" t="s">
        <v>437</v>
      </c>
      <c r="D41" s="7" t="s">
        <v>438</v>
      </c>
      <c r="E41" s="8" t="s">
        <v>26</v>
      </c>
      <c r="F41" s="8" t="s">
        <v>297</v>
      </c>
      <c r="G41" s="8" t="s">
        <v>26</v>
      </c>
      <c r="H41" s="7" t="s">
        <v>311</v>
      </c>
      <c r="I41" s="7" t="s">
        <v>394</v>
      </c>
      <c r="J41" s="7" t="s">
        <v>439</v>
      </c>
      <c r="K41" s="7" t="s">
        <v>440</v>
      </c>
      <c r="L41" s="7" t="s">
        <v>441</v>
      </c>
      <c r="M41" s="7" t="s">
        <v>398</v>
      </c>
      <c r="N41" s="7"/>
      <c r="O41" s="7" t="s">
        <v>442</v>
      </c>
      <c r="P41" s="7" t="s">
        <v>443</v>
      </c>
      <c r="Q41" s="7" t="s">
        <v>444</v>
      </c>
      <c r="R41" s="7" t="s">
        <v>51</v>
      </c>
      <c r="S41" s="7" t="s">
        <v>402</v>
      </c>
      <c r="T41" s="7" t="s">
        <v>403</v>
      </c>
      <c r="U41" s="7" t="s">
        <v>445</v>
      </c>
    </row>
    <row r="42" spans="1:21" x14ac:dyDescent="0.3">
      <c r="A42" s="9">
        <v>38</v>
      </c>
      <c r="B42" s="10" t="s">
        <v>324</v>
      </c>
      <c r="C42" s="10" t="s">
        <v>446</v>
      </c>
      <c r="D42" s="10" t="s">
        <v>447</v>
      </c>
      <c r="E42" s="8" t="s">
        <v>26</v>
      </c>
      <c r="F42" s="8" t="s">
        <v>297</v>
      </c>
      <c r="G42" s="8" t="s">
        <v>26</v>
      </c>
      <c r="H42" s="10" t="s">
        <v>311</v>
      </c>
      <c r="I42" s="10" t="s">
        <v>394</v>
      </c>
      <c r="J42" s="10" t="s">
        <v>448</v>
      </c>
      <c r="K42" s="10" t="s">
        <v>449</v>
      </c>
      <c r="L42" s="10" t="s">
        <v>450</v>
      </c>
      <c r="M42" s="10" t="s">
        <v>398</v>
      </c>
      <c r="N42" s="10"/>
      <c r="O42" s="10" t="s">
        <v>451</v>
      </c>
      <c r="P42" s="10" t="s">
        <v>452</v>
      </c>
      <c r="Q42" s="10" t="s">
        <v>453</v>
      </c>
      <c r="R42" s="10" t="s">
        <v>454</v>
      </c>
      <c r="S42" s="10" t="s">
        <v>402</v>
      </c>
      <c r="T42" s="10" t="s">
        <v>403</v>
      </c>
      <c r="U42" s="10" t="s">
        <v>455</v>
      </c>
    </row>
    <row r="43" spans="1:21" x14ac:dyDescent="0.3">
      <c r="A43" s="6">
        <v>39</v>
      </c>
      <c r="B43" s="7" t="s">
        <v>324</v>
      </c>
      <c r="C43" s="7" t="s">
        <v>456</v>
      </c>
      <c r="D43" s="7" t="s">
        <v>457</v>
      </c>
      <c r="E43" s="8" t="s">
        <v>26</v>
      </c>
      <c r="F43" s="8" t="s">
        <v>297</v>
      </c>
      <c r="G43" s="8" t="s">
        <v>26</v>
      </c>
      <c r="H43" s="7" t="s">
        <v>311</v>
      </c>
      <c r="I43" s="7" t="s">
        <v>394</v>
      </c>
      <c r="J43" s="7" t="s">
        <v>458</v>
      </c>
      <c r="K43" s="7" t="s">
        <v>459</v>
      </c>
      <c r="L43" s="7" t="s">
        <v>460</v>
      </c>
      <c r="M43" s="7" t="s">
        <v>398</v>
      </c>
      <c r="N43" s="7"/>
      <c r="O43" s="7" t="s">
        <v>461</v>
      </c>
      <c r="P43" s="7" t="s">
        <v>462</v>
      </c>
      <c r="Q43" s="7" t="s">
        <v>463</v>
      </c>
      <c r="R43" s="7" t="s">
        <v>51</v>
      </c>
      <c r="S43" s="7" t="s">
        <v>402</v>
      </c>
      <c r="T43" s="7" t="s">
        <v>403</v>
      </c>
      <c r="U43" s="7" t="s">
        <v>464</v>
      </c>
    </row>
    <row r="44" spans="1:21" x14ac:dyDescent="0.3">
      <c r="A44" s="9">
        <v>40</v>
      </c>
      <c r="B44" s="10" t="s">
        <v>324</v>
      </c>
      <c r="C44" s="10" t="s">
        <v>465</v>
      </c>
      <c r="D44" s="10" t="s">
        <v>466</v>
      </c>
      <c r="E44" s="8" t="s">
        <v>26</v>
      </c>
      <c r="F44" s="8" t="s">
        <v>297</v>
      </c>
      <c r="G44" s="8" t="s">
        <v>26</v>
      </c>
      <c r="H44" s="10" t="s">
        <v>311</v>
      </c>
      <c r="I44" s="10" t="s">
        <v>394</v>
      </c>
      <c r="J44" s="10" t="s">
        <v>467</v>
      </c>
      <c r="K44" s="10" t="s">
        <v>468</v>
      </c>
      <c r="L44" s="10" t="s">
        <v>469</v>
      </c>
      <c r="M44" s="10" t="s">
        <v>398</v>
      </c>
      <c r="N44" s="10"/>
      <c r="O44" s="10" t="s">
        <v>470</v>
      </c>
      <c r="P44" s="10" t="s">
        <v>471</v>
      </c>
      <c r="Q44" s="10" t="s">
        <v>472</v>
      </c>
      <c r="R44" s="10" t="s">
        <v>473</v>
      </c>
      <c r="S44" s="10" t="s">
        <v>402</v>
      </c>
      <c r="T44" s="10" t="s">
        <v>403</v>
      </c>
      <c r="U44" s="10" t="s">
        <v>474</v>
      </c>
    </row>
    <row r="45" spans="1:21" x14ac:dyDescent="0.3">
      <c r="A45" s="6">
        <v>41</v>
      </c>
      <c r="B45" s="7" t="s">
        <v>324</v>
      </c>
      <c r="C45" s="7" t="s">
        <v>475</v>
      </c>
      <c r="D45" s="7" t="s">
        <v>476</v>
      </c>
      <c r="E45" s="8" t="s">
        <v>26</v>
      </c>
      <c r="F45" s="8" t="s">
        <v>297</v>
      </c>
      <c r="G45" s="8" t="s">
        <v>477</v>
      </c>
      <c r="H45" s="7" t="s">
        <v>478</v>
      </c>
      <c r="I45" s="7" t="s">
        <v>479</v>
      </c>
      <c r="J45" s="7" t="s">
        <v>480</v>
      </c>
      <c r="K45" s="7" t="s">
        <v>481</v>
      </c>
      <c r="L45" s="7" t="s">
        <v>482</v>
      </c>
      <c r="M45" s="7" t="s">
        <v>483</v>
      </c>
      <c r="N45" s="7"/>
      <c r="O45" s="7" t="s">
        <v>484</v>
      </c>
      <c r="P45" s="7" t="s">
        <v>485</v>
      </c>
      <c r="Q45" s="7" t="s">
        <v>486</v>
      </c>
      <c r="R45" s="7" t="s">
        <v>51</v>
      </c>
      <c r="S45" s="7" t="s">
        <v>487</v>
      </c>
      <c r="T45" s="7" t="s">
        <v>488</v>
      </c>
      <c r="U45" s="7" t="s">
        <v>489</v>
      </c>
    </row>
    <row r="46" spans="1:21" x14ac:dyDescent="0.3">
      <c r="A46" s="9">
        <v>42</v>
      </c>
      <c r="B46" s="10" t="s">
        <v>324</v>
      </c>
      <c r="C46" s="10" t="s">
        <v>490</v>
      </c>
      <c r="D46" s="10" t="s">
        <v>491</v>
      </c>
      <c r="E46" s="8" t="s">
        <v>26</v>
      </c>
      <c r="F46" s="8" t="s">
        <v>297</v>
      </c>
      <c r="G46" s="8" t="s">
        <v>477</v>
      </c>
      <c r="H46" s="10" t="s">
        <v>478</v>
      </c>
      <c r="I46" s="10" t="s">
        <v>479</v>
      </c>
      <c r="J46" s="10" t="s">
        <v>492</v>
      </c>
      <c r="K46" s="10" t="s">
        <v>493</v>
      </c>
      <c r="L46" s="10" t="s">
        <v>494</v>
      </c>
      <c r="M46" s="10" t="s">
        <v>483</v>
      </c>
      <c r="N46" s="10"/>
      <c r="O46" s="10" t="s">
        <v>495</v>
      </c>
      <c r="P46" s="10" t="s">
        <v>496</v>
      </c>
      <c r="Q46" s="10" t="s">
        <v>497</v>
      </c>
      <c r="R46" s="10" t="s">
        <v>51</v>
      </c>
      <c r="S46" s="10" t="s">
        <v>487</v>
      </c>
      <c r="T46" s="10" t="s">
        <v>488</v>
      </c>
      <c r="U46" s="10" t="s">
        <v>498</v>
      </c>
    </row>
    <row r="47" spans="1:21" x14ac:dyDescent="0.3">
      <c r="A47" s="6">
        <v>43</v>
      </c>
      <c r="B47" s="7" t="s">
        <v>324</v>
      </c>
      <c r="C47" s="7" t="s">
        <v>499</v>
      </c>
      <c r="D47" s="7" t="s">
        <v>500</v>
      </c>
      <c r="E47" s="8" t="s">
        <v>26</v>
      </c>
      <c r="F47" s="8" t="s">
        <v>297</v>
      </c>
      <c r="G47" s="8" t="s">
        <v>477</v>
      </c>
      <c r="H47" s="7" t="s">
        <v>478</v>
      </c>
      <c r="I47" s="7" t="s">
        <v>479</v>
      </c>
      <c r="J47" s="7" t="s">
        <v>501</v>
      </c>
      <c r="K47" s="7" t="s">
        <v>502</v>
      </c>
      <c r="L47" s="7" t="s">
        <v>503</v>
      </c>
      <c r="M47" s="7" t="s">
        <v>483</v>
      </c>
      <c r="N47" s="7"/>
      <c r="O47" s="7" t="s">
        <v>504</v>
      </c>
      <c r="P47" s="7" t="s">
        <v>505</v>
      </c>
      <c r="Q47" s="7" t="s">
        <v>506</v>
      </c>
      <c r="R47" s="7" t="s">
        <v>51</v>
      </c>
      <c r="S47" s="7" t="s">
        <v>487</v>
      </c>
      <c r="T47" s="7" t="s">
        <v>488</v>
      </c>
      <c r="U47" s="7" t="s">
        <v>507</v>
      </c>
    </row>
    <row r="48" spans="1:21" x14ac:dyDescent="0.3">
      <c r="A48" s="9">
        <v>44</v>
      </c>
      <c r="B48" s="10" t="s">
        <v>324</v>
      </c>
      <c r="C48" s="10" t="s">
        <v>508</v>
      </c>
      <c r="D48" s="10" t="s">
        <v>509</v>
      </c>
      <c r="E48" s="8" t="s">
        <v>26</v>
      </c>
      <c r="F48" s="8" t="s">
        <v>297</v>
      </c>
      <c r="G48" s="8" t="s">
        <v>27</v>
      </c>
      <c r="H48" s="10" t="s">
        <v>28</v>
      </c>
      <c r="I48" s="10"/>
      <c r="J48" s="10" t="s">
        <v>510</v>
      </c>
      <c r="K48" s="10" t="s">
        <v>511</v>
      </c>
      <c r="L48" s="10" t="s">
        <v>512</v>
      </c>
      <c r="M48" s="10" t="s">
        <v>513</v>
      </c>
      <c r="N48" s="10"/>
      <c r="O48" s="10" t="s">
        <v>514</v>
      </c>
      <c r="P48" s="10" t="s">
        <v>515</v>
      </c>
      <c r="Q48" s="10" t="s">
        <v>516</v>
      </c>
      <c r="R48" s="10" t="s">
        <v>517</v>
      </c>
      <c r="S48" s="10" t="s">
        <v>306</v>
      </c>
      <c r="T48" s="10" t="s">
        <v>518</v>
      </c>
      <c r="U48" s="10" t="s">
        <v>519</v>
      </c>
    </row>
    <row r="49" spans="1:21" x14ac:dyDescent="0.3">
      <c r="A49" s="6">
        <v>45</v>
      </c>
      <c r="B49" s="7" t="s">
        <v>324</v>
      </c>
      <c r="C49" s="7" t="s">
        <v>520</v>
      </c>
      <c r="D49" s="7" t="s">
        <v>521</v>
      </c>
      <c r="E49" s="8" t="s">
        <v>213</v>
      </c>
      <c r="F49" s="8" t="s">
        <v>26</v>
      </c>
      <c r="G49" s="8" t="s">
        <v>26</v>
      </c>
      <c r="H49" s="7" t="s">
        <v>28</v>
      </c>
      <c r="I49" s="7"/>
      <c r="J49" s="7" t="s">
        <v>522</v>
      </c>
      <c r="K49" s="7" t="s">
        <v>523</v>
      </c>
      <c r="L49" s="7" t="s">
        <v>524</v>
      </c>
      <c r="M49" s="7" t="s">
        <v>525</v>
      </c>
      <c r="N49" s="7"/>
      <c r="O49" s="7" t="s">
        <v>526</v>
      </c>
      <c r="P49" s="7" t="s">
        <v>527</v>
      </c>
      <c r="Q49" s="7" t="s">
        <v>528</v>
      </c>
      <c r="R49" s="7" t="s">
        <v>529</v>
      </c>
      <c r="S49" s="7" t="s">
        <v>222</v>
      </c>
      <c r="T49" s="7" t="s">
        <v>530</v>
      </c>
      <c r="U49" s="7" t="s">
        <v>531</v>
      </c>
    </row>
    <row r="50" spans="1:21" x14ac:dyDescent="0.3">
      <c r="A50" s="9">
        <v>46</v>
      </c>
      <c r="B50" s="10" t="s">
        <v>324</v>
      </c>
      <c r="C50" s="10" t="s">
        <v>532</v>
      </c>
      <c r="D50" s="10" t="s">
        <v>533</v>
      </c>
      <c r="E50" s="8" t="s">
        <v>213</v>
      </c>
      <c r="F50" s="8" t="s">
        <v>26</v>
      </c>
      <c r="G50" s="8" t="s">
        <v>26</v>
      </c>
      <c r="H50" s="10" t="s">
        <v>311</v>
      </c>
      <c r="I50" s="10" t="s">
        <v>534</v>
      </c>
      <c r="J50" s="10" t="s">
        <v>535</v>
      </c>
      <c r="K50" s="10" t="s">
        <v>536</v>
      </c>
      <c r="L50" s="10" t="s">
        <v>537</v>
      </c>
      <c r="M50" s="10" t="s">
        <v>525</v>
      </c>
      <c r="N50" s="10"/>
      <c r="O50" s="10" t="s">
        <v>538</v>
      </c>
      <c r="P50" s="10" t="s">
        <v>539</v>
      </c>
      <c r="Q50" s="10" t="s">
        <v>540</v>
      </c>
      <c r="R50" s="10" t="s">
        <v>529</v>
      </c>
      <c r="S50" s="10" t="s">
        <v>541</v>
      </c>
      <c r="T50" s="10" t="s">
        <v>223</v>
      </c>
      <c r="U50" s="10" t="s">
        <v>542</v>
      </c>
    </row>
    <row r="51" spans="1:21" x14ac:dyDescent="0.3">
      <c r="A51" s="6">
        <v>47</v>
      </c>
      <c r="B51" s="7" t="s">
        <v>324</v>
      </c>
      <c r="C51" s="7" t="s">
        <v>543</v>
      </c>
      <c r="D51" s="7" t="s">
        <v>544</v>
      </c>
      <c r="E51" s="8" t="s">
        <v>213</v>
      </c>
      <c r="F51" s="8" t="s">
        <v>26</v>
      </c>
      <c r="G51" s="8" t="s">
        <v>26</v>
      </c>
      <c r="H51" s="7" t="s">
        <v>311</v>
      </c>
      <c r="I51" s="7" t="s">
        <v>545</v>
      </c>
      <c r="J51" s="7" t="s">
        <v>546</v>
      </c>
      <c r="K51" s="7" t="s">
        <v>547</v>
      </c>
      <c r="L51" s="7" t="s">
        <v>548</v>
      </c>
      <c r="M51" s="7" t="s">
        <v>525</v>
      </c>
      <c r="N51" s="7"/>
      <c r="O51" s="7" t="s">
        <v>549</v>
      </c>
      <c r="P51" s="7" t="s">
        <v>550</v>
      </c>
      <c r="Q51" s="7" t="s">
        <v>551</v>
      </c>
      <c r="R51" s="7" t="s">
        <v>529</v>
      </c>
      <c r="S51" s="7" t="s">
        <v>541</v>
      </c>
      <c r="T51" s="7" t="s">
        <v>223</v>
      </c>
      <c r="U51" s="7" t="s">
        <v>552</v>
      </c>
    </row>
    <row r="52" spans="1:21" x14ac:dyDescent="0.3">
      <c r="A52" s="9">
        <v>48</v>
      </c>
      <c r="B52" s="10" t="s">
        <v>324</v>
      </c>
      <c r="C52" s="10" t="s">
        <v>553</v>
      </c>
      <c r="D52" s="10" t="s">
        <v>554</v>
      </c>
      <c r="E52" s="8" t="s">
        <v>213</v>
      </c>
      <c r="F52" s="8" t="s">
        <v>26</v>
      </c>
      <c r="G52" s="8" t="s">
        <v>26</v>
      </c>
      <c r="H52" s="10" t="s">
        <v>28</v>
      </c>
      <c r="I52" s="10"/>
      <c r="J52" s="10" t="s">
        <v>555</v>
      </c>
      <c r="K52" s="10" t="s">
        <v>556</v>
      </c>
      <c r="L52" s="10" t="s">
        <v>557</v>
      </c>
      <c r="M52" s="10" t="s">
        <v>558</v>
      </c>
      <c r="N52" s="10"/>
      <c r="O52" s="10" t="s">
        <v>559</v>
      </c>
      <c r="P52" s="10" t="s">
        <v>560</v>
      </c>
      <c r="Q52" s="10" t="s">
        <v>561</v>
      </c>
      <c r="R52" s="10" t="s">
        <v>562</v>
      </c>
      <c r="S52" s="10" t="s">
        <v>563</v>
      </c>
      <c r="T52" s="10" t="s">
        <v>564</v>
      </c>
      <c r="U52" s="10" t="s">
        <v>565</v>
      </c>
    </row>
    <row r="53" spans="1:21" x14ac:dyDescent="0.3">
      <c r="A53" s="6">
        <v>49</v>
      </c>
      <c r="B53" s="7" t="s">
        <v>324</v>
      </c>
      <c r="C53" s="7" t="s">
        <v>566</v>
      </c>
      <c r="D53" s="7" t="s">
        <v>567</v>
      </c>
      <c r="E53" s="8" t="s">
        <v>189</v>
      </c>
      <c r="F53" s="8" t="s">
        <v>26</v>
      </c>
      <c r="G53" s="8" t="s">
        <v>26</v>
      </c>
      <c r="H53" s="7" t="s">
        <v>28</v>
      </c>
      <c r="I53" s="7"/>
      <c r="J53" s="7" t="s">
        <v>568</v>
      </c>
      <c r="K53" s="7" t="s">
        <v>569</v>
      </c>
      <c r="L53" s="7" t="s">
        <v>570</v>
      </c>
      <c r="M53" s="7" t="s">
        <v>571</v>
      </c>
      <c r="N53" s="7" t="s">
        <v>572</v>
      </c>
      <c r="O53" s="7" t="s">
        <v>573</v>
      </c>
      <c r="P53" s="7" t="s">
        <v>574</v>
      </c>
      <c r="Q53" s="7" t="s">
        <v>575</v>
      </c>
      <c r="R53" s="7" t="s">
        <v>51</v>
      </c>
      <c r="S53" s="7" t="s">
        <v>208</v>
      </c>
      <c r="T53" s="7" t="s">
        <v>576</v>
      </c>
      <c r="U53" s="7" t="s">
        <v>577</v>
      </c>
    </row>
    <row r="54" spans="1:21" x14ac:dyDescent="0.3">
      <c r="A54" s="9">
        <v>50</v>
      </c>
      <c r="B54" s="10" t="s">
        <v>324</v>
      </c>
      <c r="C54" s="10" t="s">
        <v>578</v>
      </c>
      <c r="D54" s="10" t="s">
        <v>579</v>
      </c>
      <c r="E54" s="8" t="s">
        <v>189</v>
      </c>
      <c r="F54" s="8" t="s">
        <v>26</v>
      </c>
      <c r="G54" s="8" t="s">
        <v>26</v>
      </c>
      <c r="H54" s="10" t="s">
        <v>311</v>
      </c>
      <c r="I54" s="10" t="s">
        <v>534</v>
      </c>
      <c r="J54" s="10" t="s">
        <v>580</v>
      </c>
      <c r="K54" s="10" t="s">
        <v>581</v>
      </c>
      <c r="L54" s="10" t="s">
        <v>582</v>
      </c>
      <c r="M54" s="10" t="s">
        <v>571</v>
      </c>
      <c r="N54" s="10" t="s">
        <v>572</v>
      </c>
      <c r="O54" s="10" t="s">
        <v>583</v>
      </c>
      <c r="P54" s="10" t="s">
        <v>584</v>
      </c>
      <c r="Q54" s="10" t="s">
        <v>585</v>
      </c>
      <c r="R54" s="10" t="s">
        <v>51</v>
      </c>
      <c r="S54" s="10" t="s">
        <v>321</v>
      </c>
      <c r="T54" s="10" t="s">
        <v>586</v>
      </c>
      <c r="U54" s="10" t="s">
        <v>587</v>
      </c>
    </row>
    <row r="55" spans="1:21" x14ac:dyDescent="0.3">
      <c r="A55" s="6">
        <v>51</v>
      </c>
      <c r="B55" s="7" t="s">
        <v>324</v>
      </c>
      <c r="C55" s="7" t="s">
        <v>588</v>
      </c>
      <c r="D55" s="7" t="s">
        <v>589</v>
      </c>
      <c r="E55" s="8" t="s">
        <v>189</v>
      </c>
      <c r="F55" s="8" t="s">
        <v>26</v>
      </c>
      <c r="G55" s="8" t="s">
        <v>26</v>
      </c>
      <c r="H55" s="7" t="s">
        <v>311</v>
      </c>
      <c r="I55" s="7" t="s">
        <v>545</v>
      </c>
      <c r="J55" s="7" t="s">
        <v>590</v>
      </c>
      <c r="K55" s="7" t="s">
        <v>591</v>
      </c>
      <c r="L55" s="7" t="s">
        <v>592</v>
      </c>
      <c r="M55" s="7" t="s">
        <v>571</v>
      </c>
      <c r="N55" s="7" t="s">
        <v>572</v>
      </c>
      <c r="O55" s="7" t="s">
        <v>593</v>
      </c>
      <c r="P55" s="7" t="s">
        <v>594</v>
      </c>
      <c r="Q55" s="7" t="s">
        <v>595</v>
      </c>
      <c r="R55" s="7" t="s">
        <v>51</v>
      </c>
      <c r="S55" s="7" t="s">
        <v>321</v>
      </c>
      <c r="T55" s="7" t="s">
        <v>586</v>
      </c>
      <c r="U55" s="7" t="s">
        <v>596</v>
      </c>
    </row>
    <row r="56" spans="1:21" x14ac:dyDescent="0.3">
      <c r="A56" s="9">
        <v>52</v>
      </c>
      <c r="B56" s="10" t="s">
        <v>324</v>
      </c>
      <c r="C56" s="10" t="s">
        <v>597</v>
      </c>
      <c r="D56" s="10" t="s">
        <v>598</v>
      </c>
      <c r="E56" s="8" t="s">
        <v>189</v>
      </c>
      <c r="F56" s="8" t="s">
        <v>297</v>
      </c>
      <c r="G56" s="8" t="s">
        <v>26</v>
      </c>
      <c r="H56" s="10" t="s">
        <v>426</v>
      </c>
      <c r="I56" s="10" t="s">
        <v>599</v>
      </c>
      <c r="J56" s="10" t="s">
        <v>600</v>
      </c>
      <c r="K56" s="10" t="s">
        <v>601</v>
      </c>
      <c r="L56" s="10" t="s">
        <v>602</v>
      </c>
      <c r="M56" s="10" t="s">
        <v>603</v>
      </c>
      <c r="N56" s="10"/>
      <c r="O56" s="10" t="s">
        <v>604</v>
      </c>
      <c r="P56" s="10" t="s">
        <v>605</v>
      </c>
      <c r="Q56" s="10" t="s">
        <v>606</v>
      </c>
      <c r="R56" s="10" t="s">
        <v>607</v>
      </c>
      <c r="S56" s="10" t="s">
        <v>608</v>
      </c>
      <c r="T56" s="10" t="s">
        <v>197</v>
      </c>
      <c r="U56" s="10" t="s">
        <v>609</v>
      </c>
    </row>
    <row r="57" spans="1:21" x14ac:dyDescent="0.3">
      <c r="A57" s="6">
        <v>53</v>
      </c>
      <c r="B57" s="7" t="s">
        <v>324</v>
      </c>
      <c r="C57" s="7" t="s">
        <v>610</v>
      </c>
      <c r="D57" s="7" t="s">
        <v>611</v>
      </c>
      <c r="E57" s="8" t="s">
        <v>189</v>
      </c>
      <c r="F57" s="8" t="s">
        <v>297</v>
      </c>
      <c r="G57" s="8" t="s">
        <v>26</v>
      </c>
      <c r="H57" s="7" t="s">
        <v>426</v>
      </c>
      <c r="I57" s="7" t="s">
        <v>599</v>
      </c>
      <c r="J57" s="7" t="s">
        <v>612</v>
      </c>
      <c r="K57" s="7" t="s">
        <v>601</v>
      </c>
      <c r="L57" s="7" t="s">
        <v>613</v>
      </c>
      <c r="M57" s="7" t="s">
        <v>614</v>
      </c>
      <c r="N57" s="7"/>
      <c r="O57" s="7" t="s">
        <v>615</v>
      </c>
      <c r="P57" s="7" t="s">
        <v>616</v>
      </c>
      <c r="Q57" s="7" t="s">
        <v>617</v>
      </c>
      <c r="R57" s="7" t="s">
        <v>607</v>
      </c>
      <c r="S57" s="7" t="s">
        <v>608</v>
      </c>
      <c r="T57" s="7" t="s">
        <v>197</v>
      </c>
      <c r="U57" s="7" t="s">
        <v>618</v>
      </c>
    </row>
    <row r="58" spans="1:21" x14ac:dyDescent="0.3">
      <c r="A58" s="9">
        <v>54</v>
      </c>
      <c r="B58" s="10" t="s">
        <v>324</v>
      </c>
      <c r="C58" s="10" t="s">
        <v>619</v>
      </c>
      <c r="D58" s="10" t="s">
        <v>620</v>
      </c>
      <c r="E58" s="8" t="s">
        <v>189</v>
      </c>
      <c r="F58" s="8" t="s">
        <v>297</v>
      </c>
      <c r="G58" s="8" t="s">
        <v>26</v>
      </c>
      <c r="H58" s="10" t="s">
        <v>426</v>
      </c>
      <c r="I58" s="10" t="s">
        <v>599</v>
      </c>
      <c r="J58" s="10" t="s">
        <v>621</v>
      </c>
      <c r="K58" s="10" t="s">
        <v>601</v>
      </c>
      <c r="L58" s="10" t="s">
        <v>622</v>
      </c>
      <c r="M58" s="10" t="s">
        <v>623</v>
      </c>
      <c r="N58" s="10"/>
      <c r="O58" s="10" t="s">
        <v>624</v>
      </c>
      <c r="P58" s="10" t="s">
        <v>625</v>
      </c>
      <c r="Q58" s="10" t="s">
        <v>626</v>
      </c>
      <c r="R58" s="10" t="s">
        <v>627</v>
      </c>
      <c r="S58" s="10" t="s">
        <v>608</v>
      </c>
      <c r="T58" s="10" t="s">
        <v>197</v>
      </c>
      <c r="U58" s="10" t="s">
        <v>628</v>
      </c>
    </row>
    <row r="59" spans="1:21" x14ac:dyDescent="0.3">
      <c r="A59" s="6">
        <v>55</v>
      </c>
      <c r="B59" s="7" t="s">
        <v>324</v>
      </c>
      <c r="C59" s="7" t="s">
        <v>629</v>
      </c>
      <c r="D59" s="7" t="s">
        <v>630</v>
      </c>
      <c r="E59" s="8" t="s">
        <v>189</v>
      </c>
      <c r="F59" s="8" t="s">
        <v>297</v>
      </c>
      <c r="G59" s="8" t="s">
        <v>26</v>
      </c>
      <c r="H59" s="7" t="s">
        <v>426</v>
      </c>
      <c r="I59" s="7" t="s">
        <v>599</v>
      </c>
      <c r="J59" s="7" t="s">
        <v>631</v>
      </c>
      <c r="K59" s="7" t="s">
        <v>601</v>
      </c>
      <c r="L59" s="7" t="s">
        <v>632</v>
      </c>
      <c r="M59" s="7" t="s">
        <v>633</v>
      </c>
      <c r="N59" s="7"/>
      <c r="O59" s="7" t="s">
        <v>634</v>
      </c>
      <c r="P59" s="7" t="s">
        <v>635</v>
      </c>
      <c r="Q59" s="7" t="s">
        <v>636</v>
      </c>
      <c r="R59" s="7" t="s">
        <v>607</v>
      </c>
      <c r="S59" s="7" t="s">
        <v>608</v>
      </c>
      <c r="T59" s="7" t="s">
        <v>197</v>
      </c>
      <c r="U59" s="7" t="s">
        <v>637</v>
      </c>
    </row>
    <row r="60" spans="1:21" x14ac:dyDescent="0.3">
      <c r="A60" s="9">
        <v>56</v>
      </c>
      <c r="B60" s="10" t="s">
        <v>324</v>
      </c>
      <c r="C60" s="10" t="s">
        <v>638</v>
      </c>
      <c r="D60" s="10" t="s">
        <v>639</v>
      </c>
      <c r="E60" s="8" t="s">
        <v>189</v>
      </c>
      <c r="F60" s="8" t="s">
        <v>297</v>
      </c>
      <c r="G60" s="8" t="s">
        <v>26</v>
      </c>
      <c r="H60" s="10" t="s">
        <v>426</v>
      </c>
      <c r="I60" s="10" t="s">
        <v>599</v>
      </c>
      <c r="J60" s="10" t="s">
        <v>640</v>
      </c>
      <c r="K60" s="10" t="s">
        <v>601</v>
      </c>
      <c r="L60" s="10" t="s">
        <v>641</v>
      </c>
      <c r="M60" s="10" t="s">
        <v>642</v>
      </c>
      <c r="N60" s="10"/>
      <c r="O60" s="10" t="s">
        <v>643</v>
      </c>
      <c r="P60" s="10" t="s">
        <v>644</v>
      </c>
      <c r="Q60" s="10" t="s">
        <v>645</v>
      </c>
      <c r="R60" s="10" t="s">
        <v>607</v>
      </c>
      <c r="S60" s="10" t="s">
        <v>608</v>
      </c>
      <c r="T60" s="10" t="s">
        <v>197</v>
      </c>
      <c r="U60" s="10" t="s">
        <v>646</v>
      </c>
    </row>
    <row r="61" spans="1:21" x14ac:dyDescent="0.3">
      <c r="A61" s="6">
        <v>57</v>
      </c>
      <c r="B61" s="7" t="s">
        <v>324</v>
      </c>
      <c r="C61" s="7" t="s">
        <v>647</v>
      </c>
      <c r="D61" s="7" t="s">
        <v>648</v>
      </c>
      <c r="E61" s="8" t="s">
        <v>189</v>
      </c>
      <c r="F61" s="8" t="s">
        <v>297</v>
      </c>
      <c r="G61" s="8" t="s">
        <v>26</v>
      </c>
      <c r="H61" s="7" t="s">
        <v>426</v>
      </c>
      <c r="I61" s="7" t="s">
        <v>599</v>
      </c>
      <c r="J61" s="7" t="s">
        <v>649</v>
      </c>
      <c r="K61" s="7" t="s">
        <v>601</v>
      </c>
      <c r="L61" s="7" t="s">
        <v>650</v>
      </c>
      <c r="M61" s="7" t="s">
        <v>651</v>
      </c>
      <c r="N61" s="7"/>
      <c r="O61" s="7" t="s">
        <v>652</v>
      </c>
      <c r="P61" s="7" t="s">
        <v>653</v>
      </c>
      <c r="Q61" s="7" t="s">
        <v>654</v>
      </c>
      <c r="R61" s="7" t="s">
        <v>655</v>
      </c>
      <c r="S61" s="7" t="s">
        <v>608</v>
      </c>
      <c r="T61" s="7" t="s">
        <v>197</v>
      </c>
      <c r="U61" s="7" t="s">
        <v>656</v>
      </c>
    </row>
    <row r="62" spans="1:21" x14ac:dyDescent="0.3">
      <c r="A62" s="9">
        <v>58</v>
      </c>
      <c r="B62" s="10" t="s">
        <v>324</v>
      </c>
      <c r="C62" s="10" t="s">
        <v>657</v>
      </c>
      <c r="D62" s="10" t="s">
        <v>658</v>
      </c>
      <c r="E62" s="8" t="s">
        <v>189</v>
      </c>
      <c r="F62" s="8" t="s">
        <v>297</v>
      </c>
      <c r="G62" s="8" t="s">
        <v>26</v>
      </c>
      <c r="H62" s="10" t="s">
        <v>426</v>
      </c>
      <c r="I62" s="10" t="s">
        <v>599</v>
      </c>
      <c r="J62" s="10" t="s">
        <v>659</v>
      </c>
      <c r="K62" s="10" t="s">
        <v>601</v>
      </c>
      <c r="L62" s="10" t="s">
        <v>660</v>
      </c>
      <c r="M62" s="10" t="s">
        <v>661</v>
      </c>
      <c r="N62" s="10"/>
      <c r="O62" s="10" t="s">
        <v>662</v>
      </c>
      <c r="P62" s="10" t="s">
        <v>663</v>
      </c>
      <c r="Q62" s="10" t="s">
        <v>664</v>
      </c>
      <c r="R62" s="10" t="s">
        <v>655</v>
      </c>
      <c r="S62" s="10" t="s">
        <v>608</v>
      </c>
      <c r="T62" s="10" t="s">
        <v>197</v>
      </c>
      <c r="U62" s="10" t="s">
        <v>665</v>
      </c>
    </row>
    <row r="63" spans="1:21" x14ac:dyDescent="0.3">
      <c r="A63" s="6">
        <v>59</v>
      </c>
      <c r="B63" s="7" t="s">
        <v>324</v>
      </c>
      <c r="C63" s="7" t="s">
        <v>666</v>
      </c>
      <c r="D63" s="7" t="s">
        <v>667</v>
      </c>
      <c r="E63" s="8" t="s">
        <v>189</v>
      </c>
      <c r="F63" s="8" t="s">
        <v>297</v>
      </c>
      <c r="G63" s="8" t="s">
        <v>477</v>
      </c>
      <c r="H63" s="7" t="s">
        <v>426</v>
      </c>
      <c r="I63" s="7" t="s">
        <v>668</v>
      </c>
      <c r="J63" s="7" t="s">
        <v>669</v>
      </c>
      <c r="K63" s="7" t="s">
        <v>670</v>
      </c>
      <c r="L63" s="7" t="s">
        <v>671</v>
      </c>
      <c r="M63" s="7" t="s">
        <v>672</v>
      </c>
      <c r="N63" s="7"/>
      <c r="O63" s="7" t="s">
        <v>673</v>
      </c>
      <c r="P63" s="7" t="s">
        <v>674</v>
      </c>
      <c r="Q63" s="7" t="s">
        <v>675</v>
      </c>
      <c r="R63" s="7" t="s">
        <v>607</v>
      </c>
      <c r="S63" s="7" t="s">
        <v>676</v>
      </c>
      <c r="T63" s="7" t="s">
        <v>197</v>
      </c>
      <c r="U63" s="7" t="s">
        <v>677</v>
      </c>
    </row>
    <row r="64" spans="1:21" x14ac:dyDescent="0.3">
      <c r="A64" s="9">
        <v>60</v>
      </c>
      <c r="B64" s="10" t="s">
        <v>324</v>
      </c>
      <c r="C64" s="10" t="s">
        <v>678</v>
      </c>
      <c r="D64" s="10" t="s">
        <v>679</v>
      </c>
      <c r="E64" s="8" t="s">
        <v>189</v>
      </c>
      <c r="F64" s="8" t="s">
        <v>297</v>
      </c>
      <c r="G64" s="8" t="s">
        <v>477</v>
      </c>
      <c r="H64" s="10" t="s">
        <v>426</v>
      </c>
      <c r="I64" s="10" t="s">
        <v>668</v>
      </c>
      <c r="J64" s="10" t="s">
        <v>680</v>
      </c>
      <c r="K64" s="10" t="s">
        <v>670</v>
      </c>
      <c r="L64" s="10" t="s">
        <v>681</v>
      </c>
      <c r="M64" s="10" t="s">
        <v>682</v>
      </c>
      <c r="N64" s="10"/>
      <c r="O64" s="10" t="s">
        <v>683</v>
      </c>
      <c r="P64" s="10" t="s">
        <v>684</v>
      </c>
      <c r="Q64" s="10" t="s">
        <v>685</v>
      </c>
      <c r="R64" s="10" t="s">
        <v>607</v>
      </c>
      <c r="S64" s="10" t="s">
        <v>676</v>
      </c>
      <c r="T64" s="10" t="s">
        <v>197</v>
      </c>
      <c r="U64" s="10" t="s">
        <v>686</v>
      </c>
    </row>
    <row r="65" spans="1:21" x14ac:dyDescent="0.3">
      <c r="A65" s="6">
        <v>61</v>
      </c>
      <c r="B65" s="7" t="s">
        <v>324</v>
      </c>
      <c r="C65" s="7" t="s">
        <v>687</v>
      </c>
      <c r="D65" s="7" t="s">
        <v>688</v>
      </c>
      <c r="E65" s="8" t="s">
        <v>189</v>
      </c>
      <c r="F65" s="8" t="s">
        <v>297</v>
      </c>
      <c r="G65" s="8" t="s">
        <v>477</v>
      </c>
      <c r="H65" s="7" t="s">
        <v>426</v>
      </c>
      <c r="I65" s="7" t="s">
        <v>668</v>
      </c>
      <c r="J65" s="7" t="s">
        <v>689</v>
      </c>
      <c r="K65" s="7" t="s">
        <v>670</v>
      </c>
      <c r="L65" s="7" t="s">
        <v>690</v>
      </c>
      <c r="M65" s="7" t="s">
        <v>691</v>
      </c>
      <c r="N65" s="7"/>
      <c r="O65" s="7" t="s">
        <v>692</v>
      </c>
      <c r="P65" s="7" t="s">
        <v>693</v>
      </c>
      <c r="Q65" s="7" t="s">
        <v>694</v>
      </c>
      <c r="R65" s="7" t="s">
        <v>655</v>
      </c>
      <c r="S65" s="7" t="s">
        <v>676</v>
      </c>
      <c r="T65" s="7" t="s">
        <v>197</v>
      </c>
      <c r="U65" s="7" t="s">
        <v>695</v>
      </c>
    </row>
    <row r="66" spans="1:21" x14ac:dyDescent="0.3">
      <c r="A66" s="9">
        <v>62</v>
      </c>
      <c r="B66" s="10" t="s">
        <v>324</v>
      </c>
      <c r="C66" s="10" t="s">
        <v>696</v>
      </c>
      <c r="D66" s="10" t="s">
        <v>697</v>
      </c>
      <c r="E66" s="8" t="s">
        <v>189</v>
      </c>
      <c r="F66" s="8" t="s">
        <v>26</v>
      </c>
      <c r="G66" s="8" t="s">
        <v>26</v>
      </c>
      <c r="H66" s="10" t="s">
        <v>28</v>
      </c>
      <c r="I66" s="10"/>
      <c r="J66" s="10" t="s">
        <v>698</v>
      </c>
      <c r="K66" s="10" t="s">
        <v>699</v>
      </c>
      <c r="L66" s="10" t="s">
        <v>700</v>
      </c>
      <c r="M66" s="10" t="s">
        <v>701</v>
      </c>
      <c r="N66" s="10"/>
      <c r="O66" s="10" t="s">
        <v>702</v>
      </c>
      <c r="P66" s="10" t="s">
        <v>703</v>
      </c>
      <c r="Q66" s="10" t="s">
        <v>704</v>
      </c>
      <c r="R66" s="10" t="s">
        <v>705</v>
      </c>
      <c r="S66" s="10" t="s">
        <v>208</v>
      </c>
      <c r="T66" s="10" t="s">
        <v>586</v>
      </c>
      <c r="U66" s="10" t="s">
        <v>706</v>
      </c>
    </row>
    <row r="67" spans="1:21" x14ac:dyDescent="0.3">
      <c r="A67" s="6">
        <v>63</v>
      </c>
      <c r="B67" s="7" t="s">
        <v>707</v>
      </c>
      <c r="C67" s="7" t="s">
        <v>708</v>
      </c>
      <c r="D67" s="7" t="s">
        <v>709</v>
      </c>
      <c r="E67" s="8" t="s">
        <v>213</v>
      </c>
      <c r="F67" s="8" t="s">
        <v>26</v>
      </c>
      <c r="G67" s="8" t="s">
        <v>26</v>
      </c>
      <c r="H67" s="7" t="s">
        <v>28</v>
      </c>
      <c r="I67" s="7"/>
      <c r="J67" s="7" t="s">
        <v>710</v>
      </c>
      <c r="K67" s="7" t="s">
        <v>711</v>
      </c>
      <c r="L67" s="7" t="s">
        <v>712</v>
      </c>
      <c r="M67" s="7" t="s">
        <v>713</v>
      </c>
      <c r="N67" s="7" t="s">
        <v>714</v>
      </c>
      <c r="O67" s="7" t="s">
        <v>715</v>
      </c>
      <c r="P67" s="7" t="s">
        <v>716</v>
      </c>
      <c r="Q67" s="7" t="s">
        <v>717</v>
      </c>
      <c r="R67" s="7" t="s">
        <v>51</v>
      </c>
      <c r="S67" s="7" t="s">
        <v>718</v>
      </c>
      <c r="T67" s="7" t="s">
        <v>719</v>
      </c>
      <c r="U67" s="7" t="s">
        <v>720</v>
      </c>
    </row>
    <row r="68" spans="1:21" x14ac:dyDescent="0.3">
      <c r="A68" s="9">
        <v>64</v>
      </c>
      <c r="B68" s="10" t="s">
        <v>707</v>
      </c>
      <c r="C68" s="10" t="s">
        <v>721</v>
      </c>
      <c r="D68" s="10" t="s">
        <v>722</v>
      </c>
      <c r="E68" s="8" t="s">
        <v>213</v>
      </c>
      <c r="F68" s="8" t="s">
        <v>26</v>
      </c>
      <c r="G68" s="8" t="s">
        <v>26</v>
      </c>
      <c r="H68" s="10" t="s">
        <v>311</v>
      </c>
      <c r="I68" s="10" t="s">
        <v>723</v>
      </c>
      <c r="J68" s="10" t="s">
        <v>724</v>
      </c>
      <c r="K68" s="10" t="s">
        <v>725</v>
      </c>
      <c r="L68" s="10" t="s">
        <v>726</v>
      </c>
      <c r="M68" s="10" t="s">
        <v>727</v>
      </c>
      <c r="N68" s="10" t="s">
        <v>728</v>
      </c>
      <c r="O68" s="10" t="s">
        <v>729</v>
      </c>
      <c r="P68" s="10" t="s">
        <v>730</v>
      </c>
      <c r="Q68" s="10" t="s">
        <v>731</v>
      </c>
      <c r="R68" s="10" t="s">
        <v>51</v>
      </c>
      <c r="S68" s="10" t="s">
        <v>718</v>
      </c>
      <c r="T68" s="10" t="s">
        <v>732</v>
      </c>
      <c r="U68" s="10" t="s">
        <v>733</v>
      </c>
    </row>
    <row r="69" spans="1:21" x14ac:dyDescent="0.3">
      <c r="A69" s="6">
        <v>65</v>
      </c>
      <c r="B69" s="7" t="s">
        <v>707</v>
      </c>
      <c r="C69" s="7" t="s">
        <v>734</v>
      </c>
      <c r="D69" s="7" t="s">
        <v>735</v>
      </c>
      <c r="E69" s="8" t="s">
        <v>213</v>
      </c>
      <c r="F69" s="8" t="s">
        <v>26</v>
      </c>
      <c r="G69" s="8" t="s">
        <v>26</v>
      </c>
      <c r="H69" s="7" t="s">
        <v>28</v>
      </c>
      <c r="I69" s="7"/>
      <c r="J69" s="7" t="s">
        <v>736</v>
      </c>
      <c r="K69" s="7" t="s">
        <v>737</v>
      </c>
      <c r="L69" s="7" t="s">
        <v>738</v>
      </c>
      <c r="M69" s="7" t="s">
        <v>739</v>
      </c>
      <c r="N69" s="7"/>
      <c r="O69" s="7" t="s">
        <v>740</v>
      </c>
      <c r="P69" s="7" t="s">
        <v>741</v>
      </c>
      <c r="Q69" s="7" t="s">
        <v>742</v>
      </c>
      <c r="R69" s="7" t="s">
        <v>51</v>
      </c>
      <c r="S69" s="7" t="s">
        <v>718</v>
      </c>
      <c r="T69" s="7" t="s">
        <v>743</v>
      </c>
      <c r="U69" s="7" t="s">
        <v>744</v>
      </c>
    </row>
    <row r="70" spans="1:21" x14ac:dyDescent="0.3">
      <c r="A70" s="9">
        <v>66</v>
      </c>
      <c r="B70" s="10" t="s">
        <v>707</v>
      </c>
      <c r="C70" s="10" t="s">
        <v>745</v>
      </c>
      <c r="D70" s="10" t="s">
        <v>746</v>
      </c>
      <c r="E70" s="8" t="s">
        <v>213</v>
      </c>
      <c r="F70" s="8" t="s">
        <v>26</v>
      </c>
      <c r="G70" s="8" t="s">
        <v>26</v>
      </c>
      <c r="H70" s="10" t="s">
        <v>311</v>
      </c>
      <c r="I70" s="10" t="s">
        <v>747</v>
      </c>
      <c r="J70" s="10" t="s">
        <v>748</v>
      </c>
      <c r="K70" s="10" t="s">
        <v>749</v>
      </c>
      <c r="L70" s="10" t="s">
        <v>750</v>
      </c>
      <c r="M70" s="10" t="s">
        <v>751</v>
      </c>
      <c r="N70" s="10"/>
      <c r="O70" s="10" t="s">
        <v>752</v>
      </c>
      <c r="P70" s="10" t="s">
        <v>753</v>
      </c>
      <c r="Q70" s="10" t="s">
        <v>754</v>
      </c>
      <c r="R70" s="10" t="s">
        <v>51</v>
      </c>
      <c r="S70" s="10" t="s">
        <v>718</v>
      </c>
      <c r="T70" s="10" t="s">
        <v>755</v>
      </c>
      <c r="U70" s="10" t="s">
        <v>756</v>
      </c>
    </row>
    <row r="71" spans="1:21" x14ac:dyDescent="0.3">
      <c r="A71" s="6">
        <v>67</v>
      </c>
      <c r="B71" s="7" t="s">
        <v>707</v>
      </c>
      <c r="C71" s="7" t="s">
        <v>757</v>
      </c>
      <c r="D71" s="7" t="s">
        <v>758</v>
      </c>
      <c r="E71" s="8" t="s">
        <v>189</v>
      </c>
      <c r="F71" s="8" t="s">
        <v>26</v>
      </c>
      <c r="G71" s="8" t="s">
        <v>26</v>
      </c>
      <c r="H71" s="7" t="s">
        <v>28</v>
      </c>
      <c r="I71" s="7"/>
      <c r="J71" s="7" t="s">
        <v>759</v>
      </c>
      <c r="K71" s="7" t="s">
        <v>760</v>
      </c>
      <c r="L71" s="7" t="s">
        <v>761</v>
      </c>
      <c r="M71" s="7" t="s">
        <v>762</v>
      </c>
      <c r="N71" s="7"/>
      <c r="O71" s="7" t="s">
        <v>763</v>
      </c>
      <c r="P71" s="7" t="s">
        <v>764</v>
      </c>
      <c r="Q71" s="7" t="s">
        <v>765</v>
      </c>
      <c r="R71" s="7" t="s">
        <v>766</v>
      </c>
      <c r="S71" s="7" t="s">
        <v>767</v>
      </c>
      <c r="T71" s="7" t="s">
        <v>768</v>
      </c>
      <c r="U71" s="7" t="s">
        <v>769</v>
      </c>
    </row>
    <row r="72" spans="1:21" x14ac:dyDescent="0.3">
      <c r="A72" s="9">
        <v>68</v>
      </c>
      <c r="B72" s="10" t="s">
        <v>707</v>
      </c>
      <c r="C72" s="10" t="s">
        <v>770</v>
      </c>
      <c r="D72" s="10" t="s">
        <v>771</v>
      </c>
      <c r="E72" s="8" t="s">
        <v>26</v>
      </c>
      <c r="F72" s="8" t="s">
        <v>297</v>
      </c>
      <c r="G72" s="8" t="s">
        <v>26</v>
      </c>
      <c r="H72" s="10" t="s">
        <v>311</v>
      </c>
      <c r="I72" s="10" t="s">
        <v>394</v>
      </c>
      <c r="J72" s="10" t="s">
        <v>772</v>
      </c>
      <c r="K72" s="10" t="s">
        <v>773</v>
      </c>
      <c r="L72" s="10" t="s">
        <v>774</v>
      </c>
      <c r="M72" s="10" t="s">
        <v>775</v>
      </c>
      <c r="N72" s="10"/>
      <c r="O72" s="10" t="s">
        <v>776</v>
      </c>
      <c r="P72" s="10" t="s">
        <v>777</v>
      </c>
      <c r="Q72" s="10" t="s">
        <v>778</v>
      </c>
      <c r="R72" s="10" t="s">
        <v>779</v>
      </c>
      <c r="S72" s="10" t="s">
        <v>402</v>
      </c>
      <c r="T72" s="10" t="s">
        <v>488</v>
      </c>
      <c r="U72" s="10" t="s">
        <v>780</v>
      </c>
    </row>
    <row r="73" spans="1:21" x14ac:dyDescent="0.3">
      <c r="A73" s="6">
        <v>69</v>
      </c>
      <c r="B73" s="7" t="s">
        <v>707</v>
      </c>
      <c r="C73" s="7" t="s">
        <v>781</v>
      </c>
      <c r="D73" s="7" t="s">
        <v>782</v>
      </c>
      <c r="E73" s="8" t="s">
        <v>26</v>
      </c>
      <c r="F73" s="8" t="s">
        <v>297</v>
      </c>
      <c r="G73" s="8" t="s">
        <v>26</v>
      </c>
      <c r="H73" s="7" t="s">
        <v>311</v>
      </c>
      <c r="I73" s="7" t="s">
        <v>394</v>
      </c>
      <c r="J73" s="7" t="s">
        <v>783</v>
      </c>
      <c r="K73" s="7" t="s">
        <v>784</v>
      </c>
      <c r="L73" s="7" t="s">
        <v>785</v>
      </c>
      <c r="M73" s="7" t="s">
        <v>775</v>
      </c>
      <c r="N73" s="7"/>
      <c r="O73" s="7" t="s">
        <v>786</v>
      </c>
      <c r="P73" s="7" t="s">
        <v>787</v>
      </c>
      <c r="Q73" s="7" t="s">
        <v>788</v>
      </c>
      <c r="R73" s="7" t="s">
        <v>789</v>
      </c>
      <c r="S73" s="7" t="s">
        <v>402</v>
      </c>
      <c r="T73" s="7" t="s">
        <v>488</v>
      </c>
      <c r="U73" s="7" t="s">
        <v>790</v>
      </c>
    </row>
    <row r="74" spans="1:21" x14ac:dyDescent="0.3">
      <c r="A74" s="9">
        <v>70</v>
      </c>
      <c r="B74" s="10" t="s">
        <v>707</v>
      </c>
      <c r="C74" s="10" t="s">
        <v>791</v>
      </c>
      <c r="D74" s="10" t="s">
        <v>792</v>
      </c>
      <c r="E74" s="8" t="s">
        <v>26</v>
      </c>
      <c r="F74" s="8" t="s">
        <v>297</v>
      </c>
      <c r="G74" s="8" t="s">
        <v>26</v>
      </c>
      <c r="H74" s="10" t="s">
        <v>311</v>
      </c>
      <c r="I74" s="10" t="s">
        <v>394</v>
      </c>
      <c r="J74" s="10" t="s">
        <v>793</v>
      </c>
      <c r="K74" s="10" t="s">
        <v>794</v>
      </c>
      <c r="L74" s="10" t="s">
        <v>795</v>
      </c>
      <c r="M74" s="10" t="s">
        <v>796</v>
      </c>
      <c r="N74" s="10"/>
      <c r="O74" s="10" t="s">
        <v>797</v>
      </c>
      <c r="P74" s="10" t="s">
        <v>798</v>
      </c>
      <c r="Q74" s="10" t="s">
        <v>799</v>
      </c>
      <c r="R74" s="10" t="s">
        <v>800</v>
      </c>
      <c r="S74" s="10" t="s">
        <v>402</v>
      </c>
      <c r="T74" s="10" t="s">
        <v>488</v>
      </c>
      <c r="U74" s="10" t="s">
        <v>801</v>
      </c>
    </row>
    <row r="75" spans="1:21" x14ac:dyDescent="0.3">
      <c r="A75" s="6">
        <v>71</v>
      </c>
      <c r="B75" s="7" t="s">
        <v>707</v>
      </c>
      <c r="C75" s="7" t="s">
        <v>802</v>
      </c>
      <c r="D75" s="7" t="s">
        <v>803</v>
      </c>
      <c r="E75" s="8" t="s">
        <v>189</v>
      </c>
      <c r="F75" s="8" t="s">
        <v>26</v>
      </c>
      <c r="G75" s="8" t="s">
        <v>26</v>
      </c>
      <c r="H75" s="7" t="s">
        <v>28</v>
      </c>
      <c r="I75" s="7"/>
      <c r="J75" s="7" t="s">
        <v>804</v>
      </c>
      <c r="K75" s="7" t="s">
        <v>805</v>
      </c>
      <c r="L75" s="7" t="s">
        <v>806</v>
      </c>
      <c r="M75" s="7" t="s">
        <v>807</v>
      </c>
      <c r="N75" s="7" t="s">
        <v>808</v>
      </c>
      <c r="O75" s="7" t="s">
        <v>809</v>
      </c>
      <c r="P75" s="7" t="s">
        <v>810</v>
      </c>
      <c r="Q75" s="7" t="s">
        <v>811</v>
      </c>
      <c r="R75" s="7" t="s">
        <v>812</v>
      </c>
      <c r="S75" s="7" t="s">
        <v>767</v>
      </c>
      <c r="T75" s="7" t="s">
        <v>586</v>
      </c>
      <c r="U75" s="7" t="s">
        <v>813</v>
      </c>
    </row>
    <row r="76" spans="1:21" x14ac:dyDescent="0.3">
      <c r="A76" s="9">
        <v>72</v>
      </c>
      <c r="B76" s="10" t="s">
        <v>814</v>
      </c>
      <c r="C76" s="10" t="s">
        <v>815</v>
      </c>
      <c r="D76" s="10" t="s">
        <v>816</v>
      </c>
      <c r="E76" s="8" t="s">
        <v>26</v>
      </c>
      <c r="F76" s="8" t="s">
        <v>817</v>
      </c>
      <c r="G76" s="8" t="s">
        <v>477</v>
      </c>
      <c r="H76" s="10" t="s">
        <v>28</v>
      </c>
      <c r="I76" s="10"/>
      <c r="J76" s="10" t="s">
        <v>818</v>
      </c>
      <c r="K76" s="10" t="s">
        <v>819</v>
      </c>
      <c r="L76" s="10" t="s">
        <v>820</v>
      </c>
      <c r="M76" s="10" t="s">
        <v>821</v>
      </c>
      <c r="N76" s="10"/>
      <c r="O76" s="10" t="s">
        <v>822</v>
      </c>
      <c r="P76" s="10" t="s">
        <v>181</v>
      </c>
      <c r="Q76" s="10" t="s">
        <v>823</v>
      </c>
      <c r="R76" s="10" t="s">
        <v>51</v>
      </c>
      <c r="S76" s="10" t="s">
        <v>824</v>
      </c>
      <c r="T76" s="10" t="s">
        <v>825</v>
      </c>
      <c r="U76" s="10" t="s">
        <v>826</v>
      </c>
    </row>
    <row r="77" spans="1:21" x14ac:dyDescent="0.3">
      <c r="A77" s="6">
        <v>73</v>
      </c>
      <c r="B77" s="7" t="s">
        <v>814</v>
      </c>
      <c r="C77" s="7" t="s">
        <v>827</v>
      </c>
      <c r="D77" s="7" t="s">
        <v>828</v>
      </c>
      <c r="E77" s="8" t="s">
        <v>26</v>
      </c>
      <c r="F77" s="8" t="s">
        <v>817</v>
      </c>
      <c r="G77" s="8" t="s">
        <v>817</v>
      </c>
      <c r="H77" s="7" t="s">
        <v>28</v>
      </c>
      <c r="I77" s="7"/>
      <c r="J77" s="7" t="s">
        <v>829</v>
      </c>
      <c r="K77" s="7" t="s">
        <v>830</v>
      </c>
      <c r="L77" s="7" t="s">
        <v>831</v>
      </c>
      <c r="M77" s="7" t="s">
        <v>832</v>
      </c>
      <c r="N77" s="7"/>
      <c r="O77" s="7" t="s">
        <v>833</v>
      </c>
      <c r="P77" s="7" t="s">
        <v>181</v>
      </c>
      <c r="Q77" s="7" t="s">
        <v>834</v>
      </c>
      <c r="R77" s="7" t="s">
        <v>51</v>
      </c>
      <c r="S77" s="7" t="s">
        <v>835</v>
      </c>
      <c r="T77" s="7" t="s">
        <v>836</v>
      </c>
      <c r="U77" s="7" t="s">
        <v>837</v>
      </c>
    </row>
    <row r="78" spans="1:21" x14ac:dyDescent="0.3">
      <c r="A78" s="9">
        <v>74</v>
      </c>
      <c r="B78" s="10" t="s">
        <v>814</v>
      </c>
      <c r="C78" s="10" t="s">
        <v>838</v>
      </c>
      <c r="D78" s="10" t="s">
        <v>839</v>
      </c>
      <c r="E78" s="8" t="s">
        <v>189</v>
      </c>
      <c r="F78" s="8" t="s">
        <v>26</v>
      </c>
      <c r="G78" s="8" t="s">
        <v>26</v>
      </c>
      <c r="H78" s="10" t="s">
        <v>28</v>
      </c>
      <c r="I78" s="10"/>
      <c r="J78" s="10" t="s">
        <v>840</v>
      </c>
      <c r="K78" s="10" t="s">
        <v>841</v>
      </c>
      <c r="L78" s="10" t="s">
        <v>842</v>
      </c>
      <c r="M78" s="10" t="s">
        <v>843</v>
      </c>
      <c r="N78" s="10"/>
      <c r="O78" s="10" t="s">
        <v>844</v>
      </c>
      <c r="P78" s="10" t="s">
        <v>845</v>
      </c>
      <c r="Q78" s="10" t="s">
        <v>846</v>
      </c>
      <c r="R78" s="10" t="s">
        <v>847</v>
      </c>
      <c r="S78" s="10" t="s">
        <v>848</v>
      </c>
      <c r="T78" s="10" t="s">
        <v>849</v>
      </c>
      <c r="U78" s="10" t="s">
        <v>850</v>
      </c>
    </row>
    <row r="79" spans="1:21" x14ac:dyDescent="0.3">
      <c r="A79" s="6">
        <v>75</v>
      </c>
      <c r="B79" s="7" t="s">
        <v>814</v>
      </c>
      <c r="C79" s="7" t="s">
        <v>851</v>
      </c>
      <c r="D79" s="7" t="s">
        <v>852</v>
      </c>
      <c r="E79" s="8" t="s">
        <v>189</v>
      </c>
      <c r="F79" s="8" t="s">
        <v>817</v>
      </c>
      <c r="G79" s="8" t="s">
        <v>477</v>
      </c>
      <c r="H79" s="7" t="s">
        <v>478</v>
      </c>
      <c r="I79" s="7" t="s">
        <v>853</v>
      </c>
      <c r="J79" s="7" t="s">
        <v>854</v>
      </c>
      <c r="K79" s="7" t="s">
        <v>855</v>
      </c>
      <c r="L79" s="7" t="s">
        <v>856</v>
      </c>
      <c r="M79" s="7" t="s">
        <v>857</v>
      </c>
      <c r="N79" s="7"/>
      <c r="O79" s="7" t="s">
        <v>858</v>
      </c>
      <c r="P79" s="7" t="s">
        <v>181</v>
      </c>
      <c r="Q79" s="7" t="s">
        <v>859</v>
      </c>
      <c r="R79" s="7" t="s">
        <v>860</v>
      </c>
      <c r="S79" s="7" t="s">
        <v>861</v>
      </c>
      <c r="T79" s="7" t="s">
        <v>862</v>
      </c>
      <c r="U79" s="7" t="s">
        <v>863</v>
      </c>
    </row>
    <row r="80" spans="1:21" x14ac:dyDescent="0.3">
      <c r="A80" s="9">
        <v>76</v>
      </c>
      <c r="B80" s="10" t="s">
        <v>814</v>
      </c>
      <c r="C80" s="10" t="s">
        <v>864</v>
      </c>
      <c r="D80" s="10" t="s">
        <v>865</v>
      </c>
      <c r="E80" s="8" t="s">
        <v>213</v>
      </c>
      <c r="F80" s="8" t="s">
        <v>26</v>
      </c>
      <c r="G80" s="8" t="s">
        <v>477</v>
      </c>
      <c r="H80" s="10" t="s">
        <v>478</v>
      </c>
      <c r="I80" s="10" t="s">
        <v>866</v>
      </c>
      <c r="J80" s="10" t="s">
        <v>867</v>
      </c>
      <c r="K80" s="10" t="s">
        <v>868</v>
      </c>
      <c r="L80" s="10" t="s">
        <v>869</v>
      </c>
      <c r="M80" s="10" t="s">
        <v>870</v>
      </c>
      <c r="N80" s="10"/>
      <c r="O80" s="10" t="s">
        <v>871</v>
      </c>
      <c r="P80" s="10" t="s">
        <v>181</v>
      </c>
      <c r="Q80" s="10" t="s">
        <v>872</v>
      </c>
      <c r="R80" s="10" t="s">
        <v>51</v>
      </c>
      <c r="S80" s="10" t="s">
        <v>873</v>
      </c>
      <c r="T80" s="10" t="s">
        <v>874</v>
      </c>
      <c r="U80" s="10" t="s">
        <v>875</v>
      </c>
    </row>
    <row r="81" spans="1:21" x14ac:dyDescent="0.3">
      <c r="A81" s="6">
        <v>77</v>
      </c>
      <c r="B81" s="7" t="s">
        <v>814</v>
      </c>
      <c r="C81" s="7" t="s">
        <v>876</v>
      </c>
      <c r="D81" s="7" t="s">
        <v>877</v>
      </c>
      <c r="E81" s="8" t="s">
        <v>189</v>
      </c>
      <c r="F81" s="8" t="s">
        <v>26</v>
      </c>
      <c r="G81" s="8" t="s">
        <v>26</v>
      </c>
      <c r="H81" s="7" t="s">
        <v>28</v>
      </c>
      <c r="I81" s="7"/>
      <c r="J81" s="7" t="s">
        <v>878</v>
      </c>
      <c r="K81" s="7" t="s">
        <v>879</v>
      </c>
      <c r="L81" s="7" t="s">
        <v>842</v>
      </c>
      <c r="M81" s="7" t="s">
        <v>880</v>
      </c>
      <c r="N81" s="7"/>
      <c r="O81" s="7" t="s">
        <v>881</v>
      </c>
      <c r="P81" s="7" t="s">
        <v>882</v>
      </c>
      <c r="Q81" s="7" t="s">
        <v>883</v>
      </c>
      <c r="R81" s="7" t="s">
        <v>884</v>
      </c>
      <c r="S81" s="7" t="s">
        <v>848</v>
      </c>
      <c r="T81" s="7" t="s">
        <v>885</v>
      </c>
      <c r="U81" s="7" t="s">
        <v>886</v>
      </c>
    </row>
    <row r="82" spans="1:21" x14ac:dyDescent="0.3">
      <c r="A82" s="9">
        <v>78</v>
      </c>
      <c r="B82" s="10" t="s">
        <v>887</v>
      </c>
      <c r="C82" s="10" t="s">
        <v>888</v>
      </c>
      <c r="D82" s="10" t="s">
        <v>889</v>
      </c>
      <c r="E82" s="8" t="s">
        <v>26</v>
      </c>
      <c r="F82" s="8" t="s">
        <v>26</v>
      </c>
      <c r="G82" s="8" t="s">
        <v>26</v>
      </c>
      <c r="H82" s="10" t="s">
        <v>426</v>
      </c>
      <c r="I82" s="10" t="s">
        <v>890</v>
      </c>
      <c r="J82" s="10" t="s">
        <v>891</v>
      </c>
      <c r="K82" s="10" t="s">
        <v>892</v>
      </c>
      <c r="L82" s="10" t="s">
        <v>893</v>
      </c>
      <c r="M82" s="10" t="s">
        <v>894</v>
      </c>
      <c r="N82" s="10" t="s">
        <v>895</v>
      </c>
      <c r="O82" s="10" t="s">
        <v>896</v>
      </c>
      <c r="P82" s="10" t="s">
        <v>897</v>
      </c>
      <c r="Q82" s="10" t="s">
        <v>898</v>
      </c>
      <c r="R82" s="10" t="s">
        <v>899</v>
      </c>
      <c r="S82" s="10" t="s">
        <v>900</v>
      </c>
      <c r="T82" s="10" t="s">
        <v>901</v>
      </c>
      <c r="U82" s="10" t="s">
        <v>902</v>
      </c>
    </row>
    <row r="83" spans="1:21" x14ac:dyDescent="0.3">
      <c r="A83" s="6">
        <v>79</v>
      </c>
      <c r="B83" s="7" t="s">
        <v>887</v>
      </c>
      <c r="C83" s="7" t="s">
        <v>903</v>
      </c>
      <c r="D83" s="7" t="s">
        <v>904</v>
      </c>
      <c r="E83" s="8" t="s">
        <v>26</v>
      </c>
      <c r="F83" s="8" t="s">
        <v>26</v>
      </c>
      <c r="G83" s="8" t="s">
        <v>26</v>
      </c>
      <c r="H83" s="7" t="s">
        <v>426</v>
      </c>
      <c r="I83" s="7" t="s">
        <v>890</v>
      </c>
      <c r="J83" s="7" t="s">
        <v>905</v>
      </c>
      <c r="K83" s="7" t="s">
        <v>892</v>
      </c>
      <c r="L83" s="7" t="s">
        <v>893</v>
      </c>
      <c r="M83" s="7" t="s">
        <v>906</v>
      </c>
      <c r="N83" s="7"/>
      <c r="O83" s="7" t="s">
        <v>907</v>
      </c>
      <c r="P83" s="7" t="s">
        <v>908</v>
      </c>
      <c r="Q83" s="7" t="s">
        <v>909</v>
      </c>
      <c r="R83" s="7" t="s">
        <v>910</v>
      </c>
      <c r="S83" s="7" t="s">
        <v>900</v>
      </c>
      <c r="T83" s="7" t="s">
        <v>901</v>
      </c>
      <c r="U83" s="7" t="s">
        <v>911</v>
      </c>
    </row>
    <row r="84" spans="1:21" x14ac:dyDescent="0.3">
      <c r="A84" s="9">
        <v>80</v>
      </c>
      <c r="B84" s="10" t="s">
        <v>887</v>
      </c>
      <c r="C84" s="10" t="s">
        <v>912</v>
      </c>
      <c r="D84" s="10" t="s">
        <v>913</v>
      </c>
      <c r="E84" s="8" t="s">
        <v>26</v>
      </c>
      <c r="F84" s="8" t="s">
        <v>26</v>
      </c>
      <c r="G84" s="8" t="s">
        <v>26</v>
      </c>
      <c r="H84" s="10" t="s">
        <v>426</v>
      </c>
      <c r="I84" s="10" t="s">
        <v>890</v>
      </c>
      <c r="J84" s="10" t="s">
        <v>914</v>
      </c>
      <c r="K84" s="10" t="s">
        <v>892</v>
      </c>
      <c r="L84" s="10" t="s">
        <v>915</v>
      </c>
      <c r="M84" s="10" t="s">
        <v>916</v>
      </c>
      <c r="N84" s="10"/>
      <c r="O84" s="10" t="s">
        <v>917</v>
      </c>
      <c r="P84" s="10" t="s">
        <v>918</v>
      </c>
      <c r="Q84" s="10" t="s">
        <v>919</v>
      </c>
      <c r="R84" s="10" t="s">
        <v>51</v>
      </c>
      <c r="S84" s="10" t="s">
        <v>900</v>
      </c>
      <c r="T84" s="10" t="s">
        <v>901</v>
      </c>
      <c r="U84" s="10" t="s">
        <v>920</v>
      </c>
    </row>
  </sheetData>
  <conditionalFormatting sqref="H5:H84">
    <cfRule type="expression" dxfId="4" priority="1">
      <formula>$H5="Supported"</formula>
    </cfRule>
    <cfRule type="expression" dxfId="3" priority="2">
      <formula>$H5="Build gap"</formula>
    </cfRule>
    <cfRule type="expression" dxfId="2" priority="3">
      <formula>$H5="Needs new input key"</formula>
    </cfRule>
    <cfRule type="expression" dxfId="1" priority="4">
      <formula>$H5="Not covered"</formula>
    </cfRule>
  </conditionalFormatting>
  <dataValidations count="1">
    <dataValidation type="list" sqref="H5:H84" xr:uid="{AE888848-249F-44BD-A1F6-05F364E73043}">
      <formula1>"Supported,Build gap,Needs new input key,Not covered"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30DC-8F23-4B39-AF78-04DCA8413F79}">
  <dimension ref="A1:H23"/>
  <sheetViews>
    <sheetView workbookViewId="0">
      <selection activeCell="D9" sqref="D9"/>
    </sheetView>
  </sheetViews>
  <sheetFormatPr defaultRowHeight="14.4" x14ac:dyDescent="0.3"/>
  <cols>
    <col min="1" max="1" width="5" style="2" customWidth="1"/>
    <col min="2" max="2" width="18" style="2" customWidth="1"/>
    <col min="3" max="4" width="20" style="2" customWidth="1"/>
    <col min="5" max="6" width="10" style="2" customWidth="1"/>
    <col min="7" max="7" width="48" style="2" customWidth="1"/>
    <col min="8" max="8" width="70" style="2" customWidth="1"/>
    <col min="9" max="16384" width="8.88671875" style="2"/>
  </cols>
  <sheetData>
    <row r="1" spans="1:8" ht="21" x14ac:dyDescent="0.3">
      <c r="A1" s="1" t="s">
        <v>921</v>
      </c>
    </row>
    <row r="2" spans="1:8" x14ac:dyDescent="0.3">
      <c r="A2" s="3" t="s">
        <v>922</v>
      </c>
    </row>
    <row r="4" spans="1:8" x14ac:dyDescent="0.3">
      <c r="A4" s="4" t="s">
        <v>2</v>
      </c>
      <c r="B4" s="4" t="s">
        <v>6</v>
      </c>
      <c r="C4" s="4" t="s">
        <v>7</v>
      </c>
      <c r="D4" s="4" t="s">
        <v>8</v>
      </c>
      <c r="E4" s="4" t="s">
        <v>923</v>
      </c>
      <c r="F4" s="4" t="s">
        <v>924</v>
      </c>
      <c r="G4" s="4" t="s">
        <v>925</v>
      </c>
      <c r="H4" s="4" t="s">
        <v>926</v>
      </c>
    </row>
    <row r="5" spans="1:8" x14ac:dyDescent="0.3">
      <c r="A5" s="6">
        <v>1</v>
      </c>
      <c r="B5" s="8" t="s">
        <v>26</v>
      </c>
      <c r="C5" s="8" t="s">
        <v>27</v>
      </c>
      <c r="D5" s="8" t="s">
        <v>27</v>
      </c>
      <c r="E5" s="6" t="s">
        <v>927</v>
      </c>
      <c r="F5" s="6">
        <f>COUNTIFS([1]Products!$E$5:$E$84,B5,[1]Products!$F$5:$F$84,C5,[1]Products!$G$5:$G$84,D5)</f>
        <v>14</v>
      </c>
      <c r="G5" s="7" t="s">
        <v>928</v>
      </c>
      <c r="H5" s="7" t="s">
        <v>929</v>
      </c>
    </row>
    <row r="6" spans="1:8" x14ac:dyDescent="0.3">
      <c r="A6" s="9">
        <v>2</v>
      </c>
      <c r="B6" s="8" t="s">
        <v>26</v>
      </c>
      <c r="C6" s="8" t="s">
        <v>27</v>
      </c>
      <c r="D6" s="8" t="s">
        <v>26</v>
      </c>
      <c r="E6" s="9" t="s">
        <v>927</v>
      </c>
      <c r="F6" s="9">
        <f>COUNTIFS([1]Products!$E$5:$E$84,B6,[1]Products!$F$5:$F$84,C6,[1]Products!$G$5:$G$84,D6)</f>
        <v>1</v>
      </c>
      <c r="G6" s="10" t="s">
        <v>175</v>
      </c>
      <c r="H6" s="10" t="s">
        <v>930</v>
      </c>
    </row>
    <row r="7" spans="1:8" x14ac:dyDescent="0.3">
      <c r="A7" s="6">
        <v>3</v>
      </c>
      <c r="B7" s="8" t="s">
        <v>189</v>
      </c>
      <c r="C7" s="8" t="s">
        <v>27</v>
      </c>
      <c r="D7" s="8" t="s">
        <v>27</v>
      </c>
      <c r="E7" s="6" t="s">
        <v>927</v>
      </c>
      <c r="F7" s="6">
        <f>COUNTIFS([1]Products!$E$5:$E$84,B7,[1]Products!$F$5:$F$84,C7,[1]Products!$G$5:$G$84,D7)</f>
        <v>1</v>
      </c>
      <c r="G7" s="7" t="s">
        <v>188</v>
      </c>
      <c r="H7" s="7" t="s">
        <v>930</v>
      </c>
    </row>
    <row r="8" spans="1:8" x14ac:dyDescent="0.3">
      <c r="A8" s="9">
        <v>4</v>
      </c>
      <c r="B8" s="8" t="s">
        <v>189</v>
      </c>
      <c r="C8" s="8" t="s">
        <v>26</v>
      </c>
      <c r="D8" s="8" t="s">
        <v>26</v>
      </c>
      <c r="E8" s="9" t="s">
        <v>927</v>
      </c>
      <c r="F8" s="9">
        <f>COUNTIFS([1]Products!$E$5:$E$84,B8,[1]Products!$F$5:$F$84,C8,[1]Products!$G$5:$G$84,D8)</f>
        <v>10</v>
      </c>
      <c r="G8" s="10" t="s">
        <v>931</v>
      </c>
      <c r="H8" s="10" t="s">
        <v>932</v>
      </c>
    </row>
    <row r="9" spans="1:8" x14ac:dyDescent="0.3">
      <c r="A9" s="6">
        <v>5</v>
      </c>
      <c r="B9" s="8" t="s">
        <v>213</v>
      </c>
      <c r="C9" s="8" t="s">
        <v>26</v>
      </c>
      <c r="D9" s="8" t="s">
        <v>26</v>
      </c>
      <c r="E9" s="6" t="s">
        <v>927</v>
      </c>
      <c r="F9" s="6">
        <f>COUNTIFS([1]Products!$E$5:$E$84,B9,[1]Products!$F$5:$F$84,C9,[1]Products!$G$5:$G$84,D9)</f>
        <v>9</v>
      </c>
      <c r="G9" s="7" t="s">
        <v>933</v>
      </c>
      <c r="H9" s="7" t="s">
        <v>934</v>
      </c>
    </row>
    <row r="10" spans="1:8" x14ac:dyDescent="0.3">
      <c r="A10" s="9">
        <v>6</v>
      </c>
      <c r="B10" s="8" t="s">
        <v>26</v>
      </c>
      <c r="C10" s="8" t="s">
        <v>228</v>
      </c>
      <c r="D10" s="8" t="s">
        <v>27</v>
      </c>
      <c r="E10" s="9" t="s">
        <v>927</v>
      </c>
      <c r="F10" s="9">
        <f>COUNTIFS([1]Products!$E$5:$E$84,B10,[1]Products!$F$5:$F$84,C10,[1]Products!$G$5:$G$84,D10)</f>
        <v>5</v>
      </c>
      <c r="G10" s="10" t="s">
        <v>935</v>
      </c>
      <c r="H10" s="10" t="s">
        <v>936</v>
      </c>
    </row>
    <row r="11" spans="1:8" x14ac:dyDescent="0.3">
      <c r="A11" s="6">
        <v>7</v>
      </c>
      <c r="B11" s="8" t="s">
        <v>189</v>
      </c>
      <c r="C11" s="8" t="s">
        <v>228</v>
      </c>
      <c r="D11" s="8" t="s">
        <v>27</v>
      </c>
      <c r="E11" s="6" t="s">
        <v>927</v>
      </c>
      <c r="F11" s="6">
        <f>COUNTIFS([1]Products!$E$5:$E$84,B11,[1]Products!$F$5:$F$84,C11,[1]Products!$G$5:$G$84,D11)</f>
        <v>1</v>
      </c>
      <c r="G11" s="7" t="s">
        <v>285</v>
      </c>
      <c r="H11" s="7" t="s">
        <v>930</v>
      </c>
    </row>
    <row r="12" spans="1:8" x14ac:dyDescent="0.3">
      <c r="A12" s="9">
        <v>8</v>
      </c>
      <c r="B12" s="8" t="s">
        <v>26</v>
      </c>
      <c r="C12" s="8" t="s">
        <v>297</v>
      </c>
      <c r="D12" s="8" t="s">
        <v>27</v>
      </c>
      <c r="E12" s="9" t="s">
        <v>927</v>
      </c>
      <c r="F12" s="9">
        <f>COUNTIFS([1]Products!$E$5:$E$84,B12,[1]Products!$F$5:$F$84,C12,[1]Products!$G$5:$G$84,D12)</f>
        <v>8</v>
      </c>
      <c r="G12" s="10" t="s">
        <v>937</v>
      </c>
      <c r="H12" s="10" t="s">
        <v>938</v>
      </c>
    </row>
    <row r="13" spans="1:8" x14ac:dyDescent="0.3">
      <c r="A13" s="6">
        <v>9</v>
      </c>
      <c r="B13" s="8" t="s">
        <v>26</v>
      </c>
      <c r="C13" s="8" t="s">
        <v>297</v>
      </c>
      <c r="D13" s="8" t="s">
        <v>26</v>
      </c>
      <c r="E13" s="6" t="s">
        <v>927</v>
      </c>
      <c r="F13" s="6">
        <f>COUNTIFS([1]Products!$E$5:$E$84,B13,[1]Products!$F$5:$F$84,C13,[1]Products!$G$5:$G$84,D13)</f>
        <v>10</v>
      </c>
      <c r="G13" s="7" t="s">
        <v>939</v>
      </c>
      <c r="H13" s="7" t="s">
        <v>940</v>
      </c>
    </row>
    <row r="14" spans="1:8" x14ac:dyDescent="0.3">
      <c r="A14" s="9">
        <v>10</v>
      </c>
      <c r="B14" s="8" t="s">
        <v>26</v>
      </c>
      <c r="C14" s="8" t="s">
        <v>297</v>
      </c>
      <c r="D14" s="8" t="s">
        <v>297</v>
      </c>
      <c r="E14" s="9" t="s">
        <v>941</v>
      </c>
      <c r="F14" s="9">
        <f>COUNTIFS([1]Products!$E$5:$E$84,B14,[1]Products!$F$5:$F$84,C14,[1]Products!$G$5:$G$84,D14)</f>
        <v>1</v>
      </c>
      <c r="G14" s="10" t="s">
        <v>425</v>
      </c>
      <c r="H14" s="10" t="s">
        <v>930</v>
      </c>
    </row>
    <row r="15" spans="1:8" x14ac:dyDescent="0.3">
      <c r="A15" s="6">
        <v>11</v>
      </c>
      <c r="B15" s="8" t="s">
        <v>26</v>
      </c>
      <c r="C15" s="8" t="s">
        <v>297</v>
      </c>
      <c r="D15" s="8" t="s">
        <v>477</v>
      </c>
      <c r="E15" s="6" t="s">
        <v>927</v>
      </c>
      <c r="F15" s="6">
        <f>COUNTIFS([1]Products!$E$5:$E$84,B15,[1]Products!$F$5:$F$84,C15,[1]Products!$G$5:$G$84,D15)</f>
        <v>3</v>
      </c>
      <c r="G15" s="7" t="s">
        <v>942</v>
      </c>
      <c r="H15" s="7" t="s">
        <v>943</v>
      </c>
    </row>
    <row r="16" spans="1:8" x14ac:dyDescent="0.3">
      <c r="A16" s="9">
        <v>12</v>
      </c>
      <c r="B16" s="8" t="s">
        <v>189</v>
      </c>
      <c r="C16" s="8" t="s">
        <v>297</v>
      </c>
      <c r="D16" s="8" t="s">
        <v>26</v>
      </c>
      <c r="E16" s="9" t="s">
        <v>941</v>
      </c>
      <c r="F16" s="9">
        <f>COUNTIFS([1]Products!$E$5:$E$84,B16,[1]Products!$F$5:$F$84,C16,[1]Products!$G$5:$G$84,D16)</f>
        <v>7</v>
      </c>
      <c r="G16" s="10" t="s">
        <v>944</v>
      </c>
      <c r="H16" s="10" t="s">
        <v>900</v>
      </c>
    </row>
    <row r="17" spans="1:8" x14ac:dyDescent="0.3">
      <c r="A17" s="6">
        <v>13</v>
      </c>
      <c r="B17" s="8" t="s">
        <v>189</v>
      </c>
      <c r="C17" s="8" t="s">
        <v>297</v>
      </c>
      <c r="D17" s="8" t="s">
        <v>477</v>
      </c>
      <c r="E17" s="6" t="s">
        <v>941</v>
      </c>
      <c r="F17" s="6">
        <f>COUNTIFS([1]Products!$E$5:$E$84,B17,[1]Products!$F$5:$F$84,C17,[1]Products!$G$5:$G$84,D17)</f>
        <v>3</v>
      </c>
      <c r="G17" s="7" t="s">
        <v>945</v>
      </c>
      <c r="H17" s="7" t="s">
        <v>900</v>
      </c>
    </row>
    <row r="18" spans="1:8" x14ac:dyDescent="0.3">
      <c r="A18" s="9">
        <v>14</v>
      </c>
      <c r="B18" s="8" t="s">
        <v>26</v>
      </c>
      <c r="C18" s="8" t="s">
        <v>817</v>
      </c>
      <c r="D18" s="8" t="s">
        <v>477</v>
      </c>
      <c r="E18" s="9" t="s">
        <v>927</v>
      </c>
      <c r="F18" s="9">
        <f>COUNTIFS([1]Products!$E$5:$E$84,B18,[1]Products!$F$5:$F$84,C18,[1]Products!$G$5:$G$84,D18)</f>
        <v>1</v>
      </c>
      <c r="G18" s="10" t="s">
        <v>816</v>
      </c>
      <c r="H18" s="10" t="s">
        <v>930</v>
      </c>
    </row>
    <row r="19" spans="1:8" x14ac:dyDescent="0.3">
      <c r="A19" s="6">
        <v>15</v>
      </c>
      <c r="B19" s="8" t="s">
        <v>26</v>
      </c>
      <c r="C19" s="8" t="s">
        <v>817</v>
      </c>
      <c r="D19" s="8" t="s">
        <v>817</v>
      </c>
      <c r="E19" s="6" t="s">
        <v>927</v>
      </c>
      <c r="F19" s="6">
        <f>COUNTIFS([1]Products!$E$5:$E$84,B19,[1]Products!$F$5:$F$84,C19,[1]Products!$G$5:$G$84,D19)</f>
        <v>1</v>
      </c>
      <c r="G19" s="7" t="s">
        <v>828</v>
      </c>
      <c r="H19" s="7" t="s">
        <v>930</v>
      </c>
    </row>
    <row r="20" spans="1:8" x14ac:dyDescent="0.3">
      <c r="A20" s="9">
        <v>16</v>
      </c>
      <c r="B20" s="8" t="s">
        <v>189</v>
      </c>
      <c r="C20" s="8" t="s">
        <v>817</v>
      </c>
      <c r="D20" s="8" t="s">
        <v>477</v>
      </c>
      <c r="E20" s="9" t="s">
        <v>927</v>
      </c>
      <c r="F20" s="9">
        <f>COUNTIFS([1]Products!$E$5:$E$84,B20,[1]Products!$F$5:$F$84,C20,[1]Products!$G$5:$G$84,D20)</f>
        <v>1</v>
      </c>
      <c r="G20" s="10" t="s">
        <v>852</v>
      </c>
      <c r="H20" s="10" t="s">
        <v>930</v>
      </c>
    </row>
    <row r="21" spans="1:8" x14ac:dyDescent="0.3">
      <c r="A21" s="6">
        <v>17</v>
      </c>
      <c r="B21" s="8" t="s">
        <v>213</v>
      </c>
      <c r="C21" s="8" t="s">
        <v>26</v>
      </c>
      <c r="D21" s="8" t="s">
        <v>477</v>
      </c>
      <c r="E21" s="6" t="s">
        <v>941</v>
      </c>
      <c r="F21" s="6">
        <f>COUNTIFS([1]Products!$E$5:$E$84,B21,[1]Products!$F$5:$F$84,C21,[1]Products!$G$5:$G$84,D21)</f>
        <v>1</v>
      </c>
      <c r="G21" s="7" t="s">
        <v>865</v>
      </c>
      <c r="H21" s="7" t="s">
        <v>946</v>
      </c>
    </row>
    <row r="22" spans="1:8" x14ac:dyDescent="0.3">
      <c r="A22" s="9">
        <v>18</v>
      </c>
      <c r="B22" s="8" t="s">
        <v>26</v>
      </c>
      <c r="C22" s="8" t="s">
        <v>26</v>
      </c>
      <c r="D22" s="8" t="s">
        <v>26</v>
      </c>
      <c r="E22" s="9" t="s">
        <v>941</v>
      </c>
      <c r="F22" s="9">
        <f>COUNTIFS([1]Products!$E$5:$E$84,B22,[1]Products!$F$5:$F$84,C22,[1]Products!$G$5:$G$84,D22)</f>
        <v>3</v>
      </c>
      <c r="G22" s="10" t="s">
        <v>947</v>
      </c>
      <c r="H22" s="10" t="s">
        <v>948</v>
      </c>
    </row>
    <row r="23" spans="1:8" x14ac:dyDescent="0.3">
      <c r="A23" s="6">
        <v>19</v>
      </c>
      <c r="B23" s="8" t="s">
        <v>189</v>
      </c>
      <c r="C23" s="8" t="s">
        <v>817</v>
      </c>
      <c r="D23" s="8" t="s">
        <v>817</v>
      </c>
      <c r="E23" s="6" t="s">
        <v>927</v>
      </c>
      <c r="F23" s="6">
        <f>COUNTIFS([1]Products!$E$5:$E$84,B23,[1]Products!$F$5:$F$84,C23,[1]Products!$G$5:$G$84,D23)</f>
        <v>0</v>
      </c>
      <c r="G23" s="7" t="s">
        <v>949</v>
      </c>
      <c r="H23" s="7" t="s">
        <v>950</v>
      </c>
    </row>
  </sheetData>
  <conditionalFormatting sqref="E5:E23">
    <cfRule type="expression" dxfId="0" priority="1">
      <formula>$E5="No"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NANDURI</dc:creator>
  <cp:lastModifiedBy>SANDEEP NANDURI</cp:lastModifiedBy>
  <dcterms:created xsi:type="dcterms:W3CDTF">2026-10-22T18:32:24Z</dcterms:created>
  <dcterms:modified xsi:type="dcterms:W3CDTF">2026-10-22T18:34:18Z</dcterms:modified>
</cp:coreProperties>
</file>